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comments4.xml" ContentType="application/vnd.openxmlformats-officedocument.spreadsheetml.comment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6.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6.xml" ContentType="application/vnd.openxmlformats-officedocument.spreadsheetml.worksheet+xml"/>
  <Override PartName="/xl/comments3.xml" ContentType="application/vnd.openxmlformats-officedocument.spreadsheetml.comments+xml"/>
  <Override PartName="/xl/_rels/workbook.xml.rels" ContentType="application/vnd.openxmlformats-package.relationships+xml"/>
  <Override PartName="/xl/sharedStrings.xml" ContentType="application/vnd.openxmlformats-officedocument.spreadsheetml.sharedStrings+xml"/>
  <Override PartName="/xl/comments5.xml" ContentType="application/vnd.openxmlformats-officedocument.spreadsheetml.comments+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2.xml" ContentType="application/vnd.openxmlformats-officedocument.drawing+xml"/>
  <Override PartName="/xl/drawings/vmlDrawing3.vml" ContentType="application/vnd.openxmlformats-officedocument.vmlDrawing"/>
  <Override PartName="/xl/drawings/vmlDrawing4.vml" ContentType="application/vnd.openxmlformats-officedocument.vmlDrawing"/>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Remonts" sheetId="1" state="visible" r:id="rId3"/>
    <sheet name="Mobilitate" sheetId="2" state="visible" r:id="rId4"/>
    <sheet name="Pretmobilitāte" sheetId="3" state="visible" r:id="rId5"/>
    <sheet name="Noliktavas" sheetId="4" state="visible" r:id="rId6"/>
    <sheet name="Sheet1" sheetId="5" state="visible" r:id="rId7"/>
    <sheet name="Vilceji_24_05_2022" sheetId="6" state="visible" r:id="rId8"/>
  </sheets>
  <definedNames>
    <definedName function="false" hidden="true" localSheetId="1" name="_xlnm._FilterDatabase" vbProcedure="false">Mobilitate!$A$1:$T$1</definedName>
    <definedName function="false" hidden="true" localSheetId="2" name="_xlnm._FilterDatabase" vbProcedure="false">Pretmobilitāte!$A$1:$R$1</definedName>
    <definedName function="false" hidden="true" localSheetId="4" name="_xlnm._FilterDatabase" vbProcedure="false">Sheet1!$A$1:$O$1</definedName>
    <definedName function="false" hidden="true" localSheetId="5" name="_xlnm._FilterDatabase" vbProcedure="false">Vilceji_24_05_2022!$A$3:$Q$447</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B1" authorId="0">
      <text>
        <r>
          <rPr>
            <sz val="11"/>
            <color rgb="FF000000"/>
            <rFont val="arial"/>
            <family val="0"/>
            <charset val="186"/>
          </rPr>
          <t xml:space="preserve">Lots of DPD tenders</t>
        </r>
      </text>
    </comment>
  </commentList>
</comments>
</file>

<file path=xl/comments2.xml><?xml version="1.0" encoding="utf-8"?>
<comments xmlns="http://schemas.openxmlformats.org/spreadsheetml/2006/main" xmlns:xdr="http://schemas.openxmlformats.org/drawingml/2006/spreadsheetDrawing">
  <authors>
    <author> </author>
  </authors>
  <commentList>
    <comment ref="A1" authorId="0">
      <text>
        <r>
          <rPr>
            <sz val="11"/>
            <color rgb="FF000000"/>
            <rFont val="arial"/>
            <family val="0"/>
            <charset val="186"/>
          </rPr>
          <t xml:space="preserve">OR-4 Ligita Mezaraupe:
</t>
        </r>
        <r>
          <rPr>
            <sz val="9"/>
            <color rgb="FF000000"/>
            <rFont val="Tahoma"/>
            <family val="2"/>
            <charset val="186"/>
          </rPr>
          <t xml:space="preserve">High (H)
Medium (M)
Low (L)</t>
        </r>
      </text>
    </comment>
  </commentList>
</comments>
</file>

<file path=xl/comments3.xml><?xml version="1.0" encoding="utf-8"?>
<comments xmlns="http://schemas.openxmlformats.org/spreadsheetml/2006/main" xmlns:xdr="http://schemas.openxmlformats.org/drawingml/2006/spreadsheetDrawing">
  <authors>
    <author> </author>
  </authors>
  <commentList>
    <comment ref="B1" authorId="0">
      <text>
        <r>
          <rPr>
            <sz val="11"/>
            <color rgb="FF000000"/>
            <rFont val="arial"/>
            <family val="0"/>
            <charset val="186"/>
          </rPr>
          <t xml:space="preserve">Lots of DPD tenders</t>
        </r>
      </text>
    </comment>
  </commentList>
</comments>
</file>

<file path=xl/comments4.xml><?xml version="1.0" encoding="utf-8"?>
<comments xmlns="http://schemas.openxmlformats.org/spreadsheetml/2006/main" xmlns:xdr="http://schemas.openxmlformats.org/drawingml/2006/spreadsheetDrawing">
  <authors>
    <author> </author>
  </authors>
  <commentList>
    <comment ref="B1" authorId="0">
      <text>
        <r>
          <rPr>
            <sz val="11"/>
            <color rgb="FF000000"/>
            <rFont val="arial"/>
            <family val="0"/>
            <charset val="186"/>
          </rPr>
          <t xml:space="preserve">Lots of DPD tenders</t>
        </r>
      </text>
    </comment>
  </commentList>
</comments>
</file>

<file path=xl/comments5.xml><?xml version="1.0" encoding="utf-8"?>
<comments xmlns="http://schemas.openxmlformats.org/spreadsheetml/2006/main" xmlns:xdr="http://schemas.openxmlformats.org/drawingml/2006/spreadsheetDrawing">
  <authors>
    <author> </author>
  </authors>
  <commentList>
    <comment ref="B1" authorId="0">
      <text>
        <r>
          <rPr>
            <sz val="11"/>
            <color rgb="FF000000"/>
            <rFont val="arial"/>
            <family val="0"/>
            <charset val="186"/>
          </rPr>
          <t xml:space="preserve">Lots of DPD tenders</t>
        </r>
      </text>
    </comment>
  </commentList>
</comments>
</file>

<file path=xl/sharedStrings.xml><?xml version="1.0" encoding="utf-8"?>
<sst xmlns="http://schemas.openxmlformats.org/spreadsheetml/2006/main" count="5630" uniqueCount="1510">
  <si>
    <t xml:space="preserve">Priority</t>
  </si>
  <si>
    <t xml:space="preserve">Company</t>
  </si>
  <si>
    <t xml:space="preserve">Speciālizācija</t>
  </si>
  <si>
    <t xml:space="preserve">Owner/s</t>
  </si>
  <si>
    <t xml:space="preserve">Juridiskā adrese</t>
  </si>
  <si>
    <t xml:space="preserve">JA Coordinates</t>
  </si>
  <si>
    <t xml:space="preserve">JA MGRS</t>
  </si>
  <si>
    <t xml:space="preserve">Fiziskā adrese</t>
  </si>
  <si>
    <t xml:space="preserve">FA Coordinates</t>
  </si>
  <si>
    <t xml:space="preserve">FA MGRS</t>
  </si>
  <si>
    <t xml:space="preserve">Phone</t>
  </si>
  <si>
    <t xml:space="preserve">Email</t>
  </si>
  <si>
    <t xml:space="preserve">URL</t>
  </si>
  <si>
    <t xml:space="preserve">Darbinieku skaits</t>
  </si>
  <si>
    <t xml:space="preserve">Pamatkapitāls</t>
  </si>
  <si>
    <t xml:space="preserve">NOTE</t>
  </si>
  <si>
    <t xml:space="preserve">FMC Auto D, SIA</t>
  </si>
  <si>
    <t xml:space="preserve">Automobiļu apkope un remonts</t>
  </si>
  <si>
    <t xml:space="preserve">Arefjevs Jevgeņijs</t>
  </si>
  <si>
    <t xml:space="preserve">Andreja Pumpura iela 127D, Daugavpils, LV-5404</t>
  </si>
  <si>
    <t xml:space="preserve">Stiklu 9a, Daugavpils, LV-5404</t>
  </si>
  <si>
    <t xml:space="preserve">www.fmcauto.lv</t>
  </si>
  <si>
    <t xml:space="preserve">5 691.00 EUR</t>
  </si>
  <si>
    <t xml:space="preserve">SIA “Alex Diesel”</t>
  </si>
  <si>
    <t xml:space="preserve">Remonts</t>
  </si>
  <si>
    <t xml:space="preserve">Aleksandrovs Aleksandrs</t>
  </si>
  <si>
    <t xml:space="preserve">Kārklu iela 4C, Daugavpils, LV-5401</t>
  </si>
  <si>
    <t xml:space="preserve">+371 25619111,</t>
  </si>
  <si>
    <t xml:space="preserve">info.alexdiesel@gmail.com</t>
  </si>
  <si>
    <t xml:space="preserve">http://www.alexdiesel.lv</t>
  </si>
  <si>
    <t xml:space="preserve">2800 eur</t>
  </si>
  <si>
    <t xml:space="preserve">SIA “Gaboteh”</t>
  </si>
  <si>
    <t xml:space="preserve">Bulgacs Guntars 50%, Ositis Aivars 50%</t>
  </si>
  <si>
    <t xml:space="preserve">Tirgus laukums 15, Subate, Augšdaugavas novads, LV-5471</t>
  </si>
  <si>
    <t xml:space="preserve">29506913, 26409338</t>
  </si>
  <si>
    <t xml:space="preserve">gaboteh@inbox.lv</t>
  </si>
  <si>
    <t xml:space="preserve">8532 eur</t>
  </si>
  <si>
    <t xml:space="preserve">Ditton pievadķēžu rūpnīca</t>
  </si>
  <si>
    <t xml:space="preserve">Zarāns Rolands, Koršenkovs Jevgēnijs</t>
  </si>
  <si>
    <t xml:space="preserve">Višķu iela 17, Daugavpils</t>
  </si>
  <si>
    <t xml:space="preserve">371 654 02333</t>
  </si>
  <si>
    <t xml:space="preserve">dpr@dpr.lv</t>
  </si>
  <si>
    <t xml:space="preserve">http://www.dpr.lv; https://shop.ditton.ru/</t>
  </si>
  <si>
    <t xml:space="preserve">10 360 000.00 EUR</t>
  </si>
  <si>
    <t xml:space="preserve">SIA “Scania Latvia”, Daugavpils filiāle Scania autocentrs</t>
  </si>
  <si>
    <t xml:space="preserve">Remonts, detaļas</t>
  </si>
  <si>
    <t xml:space="preserve">Īpašnieki no Zviedrijas</t>
  </si>
  <si>
    <t xml:space="preserve">Rīga, Tīraines iela 13</t>
  </si>
  <si>
    <t xml:space="preserve">Stacijas 129s, Daugavpils, LV-5401</t>
  </si>
  <si>
    <t xml:space="preserve">AS “Daugavpils Lokomotīvju Remonta Rūpnīca”</t>
  </si>
  <si>
    <t xml:space="preserve">Remonts, Detaļas</t>
  </si>
  <si>
    <t xml:space="preserve">Ossinovski Oleg</t>
  </si>
  <si>
    <t xml:space="preserve">Marijas iela 1, Daugavpils, LV-5404</t>
  </si>
  <si>
    <t xml:space="preserve"> Marijas iela 1, Daugavpils, LV-5404</t>
  </si>
  <si>
    <t xml:space="preserve">+371 654 04455</t>
  </si>
  <si>
    <t xml:space="preserve">info@dlrr.lv</t>
  </si>
  <si>
    <t xml:space="preserve">https://www.dlrr.eu/</t>
  </si>
  <si>
    <t xml:space="preserve">24 445 037.40 EUR</t>
  </si>
  <si>
    <t xml:space="preserve">X</t>
  </si>
  <si>
    <t xml:space="preserve">SIA "Zieglera Mašīnbūve"</t>
  </si>
  <si>
    <t xml:space="preserve">Detaļas</t>
  </si>
  <si>
    <t xml:space="preserve">Ziegler Martin Christoph</t>
  </si>
  <si>
    <t xml:space="preserve">Spaļu iela 3, Daugavpils, LV-5404</t>
  </si>
  <si>
    <t xml:space="preserve"> +371 65407333</t>
  </si>
  <si>
    <t xml:space="preserve">ziegler@ziegler.lv</t>
  </si>
  <si>
    <t xml:space="preserve">http://www.ziegler-gmbh.com/automobiltechnik</t>
  </si>
  <si>
    <t xml:space="preserve">1 196 902 EUR</t>
  </si>
  <si>
    <t xml:space="preserve">SIA “Daugavpils autobusu parks”</t>
  </si>
  <si>
    <t xml:space="preserve">Loģistika, Remonts</t>
  </si>
  <si>
    <t xml:space="preserve">Daugavpils pilsētas dome</t>
  </si>
  <si>
    <t xml:space="preserve">Kārklu iela 24, Daugavpils, LV-5403</t>
  </si>
  <si>
    <t xml:space="preserve">654 29245</t>
  </si>
  <si>
    <t xml:space="preserve">dap@dap.apollo.lv</t>
  </si>
  <si>
    <t xml:space="preserve">https://buspark.lv/</t>
  </si>
  <si>
    <t xml:space="preserve">5032413 eur</t>
  </si>
  <si>
    <t xml:space="preserve">AS “Daugavpils Satiksme”</t>
  </si>
  <si>
    <t xml:space="preserve">18. novembra iela 183, Daugavpils, LV-5417</t>
  </si>
  <si>
    <t xml:space="preserve"> 18. novembra iela 183, Daugavpils, LV-5417</t>
  </si>
  <si>
    <t xml:space="preserve">371 65 433 632, 371 29909292 </t>
  </si>
  <si>
    <t xml:space="preserve">info@dsatiksme.lv</t>
  </si>
  <si>
    <t xml:space="preserve">https://satiksme.daugavpils.lv/</t>
  </si>
  <si>
    <t xml:space="preserve">2 935 629.00 EUR</t>
  </si>
  <si>
    <t xml:space="preserve">Resurs (delete)</t>
  </si>
  <si>
    <t xml:space="preserve">Resurs all</t>
  </si>
  <si>
    <t xml:space="preserve">Jur Address Coordinates</t>
  </si>
  <si>
    <t xml:space="preserve">Civil Grids</t>
  </si>
  <si>
    <t xml:space="preserve">MGRS</t>
  </si>
  <si>
    <t xml:space="preserve">Comment</t>
  </si>
  <si>
    <t xml:space="preserve">L</t>
  </si>
  <si>
    <t xml:space="preserve">SIA "BELMAST"</t>
  </si>
  <si>
    <t xml:space="preserve">MTL transportēšana</t>
  </si>
  <si>
    <t xml:space="preserve">1x kravas SCANIA R 410
2x kravas SCANIA R 440
1x kravas DAF XF 105</t>
  </si>
  <si>
    <t xml:space="preserve">1x kravas SCANIA R 410
2x kravas SCANIA R 440
1x kravas DAF XF 106</t>
  </si>
  <si>
    <t xml:space="preserve">Jurkans-Jurgans Valērijs 50%, Precenieks Anatolijs 50%</t>
  </si>
  <si>
    <t xml:space="preserve">Višķu iela 21z, Daugavpils, LV-5410</t>
  </si>
  <si>
    <t xml:space="preserve">+371 65 407 018, +371 26449294</t>
  </si>
  <si>
    <t xml:space="preserve">aleksey@dauer.lv, belmast.psk@mail.ru</t>
  </si>
  <si>
    <t xml:space="preserve">www.belmast.lv/</t>
  </si>
  <si>
    <t xml:space="preserve">327200 eur</t>
  </si>
  <si>
    <t xml:space="preserve">H</t>
  </si>
  <si>
    <t xml:space="preserve">SIA "Apeks serviss"</t>
  </si>
  <si>
    <t xml:space="preserve">Loģistika</t>
  </si>
  <si>
    <t xml:space="preserve">?</t>
  </si>
  <si>
    <t xml:space="preserve">Anisjko Vjaceslavs</t>
  </si>
  <si>
    <t xml:space="preserve">Spaļu iela 1p, Daugavpils, LV-5404</t>
  </si>
  <si>
    <t xml:space="preserve">apeks.serviss@gmail.com</t>
  </si>
  <si>
    <t xml:space="preserve">https://apeks.lv/</t>
  </si>
  <si>
    <t xml:space="preserve">2840 eur</t>
  </si>
  <si>
    <t xml:space="preserve">M</t>
  </si>
  <si>
    <t xml:space="preserve">SIA “Optitrans”</t>
  </si>
  <si>
    <t xml:space="preserve">Lubņina Diana 34%,Daņileviča Žanna 2%, Sažinskis Konstantīns 32%, OPTITRANS 31%</t>
  </si>
  <si>
    <t xml:space="preserve">Kandavas 23a, Daugavpils, LV-5401</t>
  </si>
  <si>
    <t xml:space="preserve">+371 29576976</t>
  </si>
  <si>
    <t xml:space="preserve">optitrans@inbox.lv, diana.lu@inbox.lv</t>
  </si>
  <si>
    <t xml:space="preserve">44844 eur</t>
  </si>
  <si>
    <t xml:space="preserve">SIA “Latliga”</t>
  </si>
  <si>
    <t xml:space="preserve">Kornačs Romualds</t>
  </si>
  <si>
    <t xml:space="preserve">5410, Daugavpils, Višķu iela 21ž</t>
  </si>
  <si>
    <t xml:space="preserve">mn@latliga.lv, latliga@mail.ru</t>
  </si>
  <si>
    <t xml:space="preserve">www.latliga.lv/</t>
  </si>
  <si>
    <t xml:space="preserve"> 14228 eur</t>
  </si>
  <si>
    <t xml:space="preserve">SIA “DSI Auto”</t>
  </si>
  <si>
    <t xml:space="preserve">Danu Sergejs</t>
  </si>
  <si>
    <t xml:space="preserve">Daugavpils, Pļavu iela 8A</t>
  </si>
  <si>
    <t xml:space="preserve">Daugavpils, Višķu iela 15</t>
  </si>
  <si>
    <t xml:space="preserve">29625101, 26816191</t>
  </si>
  <si>
    <t xml:space="preserve">dsibuve@inbox.lv</t>
  </si>
  <si>
    <t xml:space="preserve">8500 eur</t>
  </si>
  <si>
    <t xml:space="preserve">SIA „Dautrans”</t>
  </si>
  <si>
    <t xml:space="preserve">Personāla transportēšana</t>
  </si>
  <si>
    <t xml:space="preserve">Ignatjevs Aleksandrs</t>
  </si>
  <si>
    <t xml:space="preserve">Daugavpils, 1. Pasažieru iela 8</t>
  </si>
  <si>
    <t xml:space="preserve">371 6542 08 34,  +371 2929 8772</t>
  </si>
  <si>
    <t xml:space="preserve">dautrans@apollo.lv</t>
  </si>
  <si>
    <t xml:space="preserve">https://dautrans.lv/</t>
  </si>
  <si>
    <t xml:space="preserve">14 484.00 EUR</t>
  </si>
  <si>
    <t xml:space="preserve">SIA “Miks Bus”</t>
  </si>
  <si>
    <t xml:space="preserve">Zabarovskis Vladislavs 50%, Davidovs Aleksandrs 50%</t>
  </si>
  <si>
    <t xml:space="preserve">Cietokšņa iela 35 - 1, Daugavpils, LV-5401</t>
  </si>
  <si>
    <t xml:space="preserve"> Cietokšņa iela 35 - 1, Daugavpils, LV-5401</t>
  </si>
  <si>
    <t xml:space="preserve">+371 654 22 636, +371 26 412 005, +371 26412005</t>
  </si>
  <si>
    <t xml:space="preserve">bus.noma@gmail.com</t>
  </si>
  <si>
    <t xml:space="preserve">http://www.busnoma.lv/?i=1</t>
  </si>
  <si>
    <t xml:space="preserve"> 115808 eur</t>
  </si>
  <si>
    <t xml:space="preserve">IK “Megabus LV”</t>
  </si>
  <si>
    <t xml:space="preserve">Samoilovs Aleksandrs</t>
  </si>
  <si>
    <t xml:space="preserve">Mihoelsa iela 39 - 2, Daugavpils, LV-5401</t>
  </si>
  <si>
    <t xml:space="preserve"> Mihoelsa iela 39 - 2, Daugavpils, LV-5401</t>
  </si>
  <si>
    <t xml:space="preserve">+371 20 302 037</t>
  </si>
  <si>
    <t xml:space="preserve">info@megabus.lv</t>
  </si>
  <si>
    <t xml:space="preserve">https://www.megabus.lv/</t>
  </si>
  <si>
    <t xml:space="preserve">SIA Daugavpils pilsētas Mednis  </t>
  </si>
  <si>
    <t xml:space="preserve">5x kravas DAF FT XF
1x kravas DAF XF 105
1x kravas DAF XF 530 FT
1x kravas SCANIA R 450
2x kravas VOLVO FH</t>
  </si>
  <si>
    <t xml:space="preserve">Sapuns Jevgeņijs</t>
  </si>
  <si>
    <t xml:space="preserve">Dunduru iela 11, Daugavpils, LV-5414</t>
  </si>
  <si>
    <t xml:space="preserve">mednis1@inbox.lv</t>
  </si>
  <si>
    <t xml:space="preserve">113 813.00 EUR</t>
  </si>
  <si>
    <t xml:space="preserve">Kravu pārvadājumi pa autoceļiem</t>
  </si>
  <si>
    <t xml:space="preserve">Personāla mobilitāte</t>
  </si>
  <si>
    <t xml:space="preserve">1xVolvo B10M (41 sēdvietas)
2xScania L94 (48 sēdvietas un 24 stāvvietas)
1xScania K124 (45 sēdvietas)
3xSOR C9,5 (32 sēdvietas un 32 stāvvietas)
2xSOR C9,5 (35 sēdvietas un 23 stāvvietas)
1xSetra S415UL (54 sēdvietas un 22 stāvvietas)
1xSetra S313UL (40 sēdvietas un 20 stāvvietas)
1xSetra S213UL (41 sēdvietas un 18 stāvvietas)
1xScania L94 UB (52 sēdvietas un 30 stāvvietas)
1xVolvo B7L (35 sēdvietas un 44 stāvvietas)
1xVolvo B7R (51 sēdvietas un 20 stāvvietas)
1xVW Crafter (19 sēdvietas)
5xMB Sprinter (19 sēdvietas un 3 stāvvietas)
1xMAN R08 (57 sēdvietas)
1xScania L94 (47 sēdvietas un 20 stāvvietas)
1xMB Vario (20 sēdvietas un 7 stāvvietas)
1xMB Tourismo (52 sēdvietas un 17 stāvvietas)
1xNeoplan (61 sēdvietas un 30 stāvvietas)                                             4xMan Lions Regio (54 sēdvietas un 21 stāvvietas)</t>
  </si>
  <si>
    <t xml:space="preserve">33x autobusi (44 sēdvietas un ___ stāvvietas)
6x autobusi (63 sēdvietas un ___ stāvvietas)
11x mikroautobusi (16 sēdvietas un ___ stāvvietas)
2x autobusi (21 sēdvietas un ___ stāvvietas)
1x autobuss (30 sēdvietas un ___ stāvvietas)
1x mikroautobuss (19 sēdvietas un ___ stāvvietas)
2x autobusi (31 sēdvieta un ___ stāvvietas)
36x tramvaji</t>
  </si>
  <si>
    <t xml:space="preserve">SIA "DINABURGA ROSME"</t>
  </si>
  <si>
    <t xml:space="preserve">Degvielas transportēšana</t>
  </si>
  <si>
    <t xml:space="preserve">1x EUROTANK ET30 1 (K8143) Piekabe transporta cisterna
1x KLAESER TSA 30C (P9691) Puspiekabe transporta cisterna
1x KAESSBOHRER STS 32 (K4595) Puspiekabe transporta cisterna
1x KAESSBOHRER TANKAUFLIEGER (S6317) Puspiekabe transporta cisterna
1x KAESSBOHRER TANKAUFLIEGER (S6318) Puspiekabe transporta cisterna
1x LAG 0-3-39T (P7356) Puspiekabe transporta cisterna                       1x kravas SCANIA R 500 (HS1457) 2011g. Pilna masa 19000; pašmasa 8590
1x kravas SCANIA R 500 (JA4727) 2012g. Pilna masa 19000; pašmasa 8670
1x kravas SCANIA R 410 (JO4498) 2014g. Pilna masa 18600; pašmasa 8239
1x kravas SCANIA R 410 (JO4496) 2014g. Pilna masa 18600; pašmasa 8239
1x kravas SCANIA R 420 (FM5910) 2005g. Pilna masa 18600; pašmasa 8180
1x kravas SCANIA R 420 (GV6187) 2008g. Pilna masa 18600; pašmasa 8300
1x kravas SCANIA R 420 (GJ5976) 2007g. Pilna masa 18600; pašmasa 7650
</t>
  </si>
  <si>
    <t xml:space="preserve">Jušins Viktors (20%); Kavinskis Artūrs (60%); Lavrinovičs Vladislavs (20%)</t>
  </si>
  <si>
    <t xml:space="preserve">Daugavpils, Raiņa iela 28, </t>
  </si>
  <si>
    <t xml:space="preserve">22012740; 28672267</t>
  </si>
  <si>
    <t xml:space="preserve">SIA "LATROSTRANS"</t>
  </si>
  <si>
    <t xml:space="preserve">Degvielas transportēšana / MTL transportēšana</t>
  </si>
  <si>
    <t xml:space="preserve">1x MAN TGS (JE5113) Kravas transporta cisterna                                 1x kravas VOLVO FM12
1x kravas MAN TGS
1x kravas VOLVO FM12 66
1x kravas UNIMOG U 2450
</t>
  </si>
  <si>
    <r>
      <rPr>
        <sz val="11"/>
        <color rgb="FF000000"/>
        <rFont val="arial"/>
        <family val="0"/>
        <charset val="186"/>
      </rPr>
      <t xml:space="preserve">AS "TRANSŅEFTEPRODUKT" (34%); AS "LATVIJAS KUĢNIECĪBA" (66%). </t>
    </r>
    <r>
      <rPr>
        <sz val="11"/>
        <color rgb="FFFF0000"/>
        <rFont val="arial"/>
        <family val="0"/>
        <charset val="186"/>
      </rPr>
      <t xml:space="preserve">Krievijas federācijas uzņēmums  </t>
    </r>
  </si>
  <si>
    <t xml:space="preserve">Augšdaugavas nov., Šēderes pag., "LRDS Ilūkste"</t>
  </si>
  <si>
    <t xml:space="preserve">371 65 401 312</t>
  </si>
  <si>
    <t xml:space="preserve">SIA "RUBITRON BALTICS"</t>
  </si>
  <si>
    <t xml:space="preserve">1x HOBUR BPO 10 24 (N9419) Puspiekabe transporta cisterna
1x LAG 0-3-39T (N4472) Puspiekabe transporta cisterna                       1x kravas SCANIA R 420 (MM8799) Pilnā masa 19500</t>
  </si>
  <si>
    <t xml:space="preserve">1x HOBUR BPO 10 24 (N9419) Puspiekabe transporta cisterna
1x LAG 0-3-39T (N4472) Puspiekabe transporta cisterna                       1x kravas SCANIA R 420 (MM8799) Pilnā masa 19501</t>
  </si>
  <si>
    <r>
      <rPr>
        <sz val="11"/>
        <color rgb="FF000000"/>
        <rFont val="arial"/>
        <family val="0"/>
        <charset val="186"/>
      </rPr>
      <t xml:space="preserve">RUBITRON OOO (15%); Kapitonenko Nikolaj (85%).</t>
    </r>
    <r>
      <rPr>
        <sz val="11"/>
        <color rgb="FFFF0000"/>
        <rFont val="arial"/>
        <family val="0"/>
        <charset val="186"/>
      </rPr>
      <t xml:space="preserve"> Krievijas federācijas uzņēmums</t>
    </r>
  </si>
  <si>
    <t xml:space="preserve">Augšdaugavas nov., Maļinovas pag., Zaļumi, "Naftas bāze "Zaļumi""</t>
  </si>
  <si>
    <t xml:space="preserve">29400798; 25747070</t>
  </si>
  <si>
    <t xml:space="preserve">SIA "INGRID A"</t>
  </si>
  <si>
    <t xml:space="preserve">1x MERCEDES BENZ ACTROS 1841 (RO1219) Kravas transporta cisterna
1x SCANIA G 400 (HO7922) Kravas transporta cisterna
1x EUROTANK ET36 5 (F9363) Puspiekabe transporta cisterna, 36 m³
1x EUROTANK ET36 5 (F4995) Puspiekabe transporta cisterna, 36 m³
1x EUROTANK ET36 5 (J5727) Puspiekabe transporta cisterna, 36 m³ 1xkravas SCANIA P114
1xkravas SCANIA P 380
1xkravas SCANIA P124</t>
  </si>
  <si>
    <t xml:space="preserve">Grahovskis Vjačeslavs (50%); Grahovskis Aleksandrs (50%).</t>
  </si>
  <si>
    <t xml:space="preserve">Daugavpils, Vaļņu iela 2</t>
  </si>
  <si>
    <r>
      <rPr>
        <sz val="11"/>
        <color rgb="FF000000"/>
        <rFont val="arial"/>
        <family val="0"/>
        <charset val="186"/>
      </rPr>
      <t xml:space="preserve">371 65429425, </t>
    </r>
    <r>
      <rPr>
        <b val="true"/>
        <sz val="11"/>
        <color rgb="FF000000"/>
        <rFont val="arial"/>
        <family val="0"/>
        <charset val="186"/>
      </rPr>
      <t xml:space="preserve">25909355; 29620718</t>
    </r>
  </si>
  <si>
    <t xml:space="preserve">ingridanb@apollo.lv</t>
  </si>
  <si>
    <t xml:space="preserve">SIA "AVOTS SP"</t>
  </si>
  <si>
    <t xml:space="preserve">1 x MAGYAR SR 3MEB (V8943) Puspiekabe transporta cisterna, 30 m³
1 x MAGYAR (V2399) Puspiekabe transporta cisterna, 31,3 m³
1x BSLT STC1A (U2356) Puspiekabe transporta cisterna, 34.3 m³       1x kravas VOLVO FH12 2004g Pilnā masa 20000 Pašmasa 8050
1x kravas VOLVO FH12 2005g Pilnā masa 18000 Pašmasa 8000
1x kravas VOLVO FH12 2005g Pilnā masa 18000 Pašmasa 7863
1x kravas VOLVO FH12 2005g Pilnā masa 18000 Pašmasa 7040</t>
  </si>
  <si>
    <t xml:space="preserve">Pučinskis Sergejs</t>
  </si>
  <si>
    <t xml:space="preserve">Daugavpils, Cēsu iela 16A - 6</t>
  </si>
  <si>
    <t xml:space="preserve">371 29 620 141</t>
  </si>
  <si>
    <t xml:space="preserve">SIA "Euro Energo Company"</t>
  </si>
  <si>
    <t xml:space="preserve">Nikolajs Jermolajevs; Viktors Busels; Genadijs Stankevičs</t>
  </si>
  <si>
    <t xml:space="preserve">Daugavpils, Jelgavas iela 2A</t>
  </si>
  <si>
    <t xml:space="preserve">ABLINK</t>
  </si>
  <si>
    <t xml:space="preserve">kravas DAF XF 105, kravas DAF XF 460 FT</t>
  </si>
  <si>
    <t xml:space="preserve">DAUGAVPILS, MARIJAS IELA 6 -8</t>
  </si>
  <si>
    <t xml:space="preserve">AD BIOGĀZES STACIJA</t>
  </si>
  <si>
    <t xml:space="preserve">kravas SCANIA G 400</t>
  </si>
  <si>
    <t xml:space="preserve">DAUGAVPILS NOVADS, SKRUDALIENAS PAGASTS SKAISTA</t>
  </si>
  <si>
    <t xml:space="preserve">AHL LOGISTICS</t>
  </si>
  <si>
    <t xml:space="preserve">kravas VOLVO FH</t>
  </si>
  <si>
    <t xml:space="preserve">DAUGAVPILS, ANDREJA PUMPURA IELA 70-12</t>
  </si>
  <si>
    <t xml:space="preserve">AINAVA</t>
  </si>
  <si>
    <t xml:space="preserve">kravas DAF FTCF</t>
  </si>
  <si>
    <t xml:space="preserve">AUGŠDAUGAVAS NOVADS, MAĻINOVAS PAGASTS</t>
  </si>
  <si>
    <t xml:space="preserve">ALMAZTRANS</t>
  </si>
  <si>
    <t xml:space="preserve">kravas DAF FT XF 105</t>
  </si>
  <si>
    <t xml:space="preserve">DAUGAVPILS, MIERA IELA 14 -28</t>
  </si>
  <si>
    <t xml:space="preserve">APŠI 2</t>
  </si>
  <si>
    <t xml:space="preserve">DAUGAVPILS NOVADS, TABORES PAGASTS APŠI 2</t>
  </si>
  <si>
    <t xml:space="preserve">AS  DAUGAVPILS SPECIALIZĒTAIS AUTOTRANSPORTA UZŅĒMUMS </t>
  </si>
  <si>
    <t xml:space="preserve">kravas SCANIA 114L, kravas MERCEDES BENZ ACTROS, kravas SCANIA G 400</t>
  </si>
  <si>
    <t xml:space="preserve">DAUGAVPILS, SLĀVU IELA 6</t>
  </si>
  <si>
    <t xml:space="preserve">ASAGA-D</t>
  </si>
  <si>
    <t xml:space="preserve"> 2x kravas DAF XF 105</t>
  </si>
  <si>
    <t xml:space="preserve">DAUGAVPILS NOVADS, KALKŪNES PAGASTS, CELTNIEKS 196</t>
  </si>
  <si>
    <t xml:space="preserve">AUTOPARTS-D</t>
  </si>
  <si>
    <t xml:space="preserve">kravas DAF FTXF105.460T</t>
  </si>
  <si>
    <t xml:space="preserve">DAUGAVPILS, STRĀDNIEKU IELA 72 - 47</t>
  </si>
  <si>
    <t xml:space="preserve">CIEMIŅI</t>
  </si>
  <si>
    <t xml:space="preserve">ILŪKSTES NOVADS DVIETES PAGASTS</t>
  </si>
  <si>
    <t xml:space="preserve">CĪRULĪŠI</t>
  </si>
  <si>
    <t xml:space="preserve">kravas DAF XF 95</t>
  </si>
  <si>
    <t xml:space="preserve">Centrāles iela 1, Saliena, Salienas pagasts, Daugavpils novads, LV-5469</t>
  </si>
  <si>
    <t xml:space="preserve">DAUGAVPILS NOVADS, SALIENAS PAGASTS, SALIENA, CENTRĀLES IELA 1</t>
  </si>
  <si>
    <t xml:space="preserve">DAR INVEST</t>
  </si>
  <si>
    <t xml:space="preserve">kravas VOLVO FH12,  2x kravas SCANIA R124</t>
  </si>
  <si>
    <t xml:space="preserve">DAUGAVPILS, 18. NOVEMBRA IELA 186-56</t>
  </si>
  <si>
    <t xml:space="preserve">DAUGAVPILS BŪVMEHANIZĀCIJA</t>
  </si>
  <si>
    <t xml:space="preserve">kravas MAN 26.372</t>
  </si>
  <si>
    <t xml:space="preserve">DAUGAVPILS, 18. NOVEMBRA IELA 105</t>
  </si>
  <si>
    <t xml:space="preserve">DINABURGA STILS</t>
  </si>
  <si>
    <t xml:space="preserve"> 4x kravas DAF XF 105</t>
  </si>
  <si>
    <t xml:space="preserve">DAUGAVPILS, RĪGAS IELA 52 -4</t>
  </si>
  <si>
    <t xml:space="preserve">ERFOLG-D</t>
  </si>
  <si>
    <t xml:space="preserve"> 2x kravas DAF XF 105, kravas DAF FT XF</t>
  </si>
  <si>
    <t xml:space="preserve">DAUGAVPILS, GRODŅAS IELA 40-15</t>
  </si>
  <si>
    <t xml:space="preserve">IGRI TRANS</t>
  </si>
  <si>
    <t xml:space="preserve">kravas VOLVO FH12</t>
  </si>
  <si>
    <t xml:space="preserve">DAUGAVPILS, AVEŅU IELA 25-33</t>
  </si>
  <si>
    <t xml:space="preserve">IK  MKD-TRANS </t>
  </si>
  <si>
    <t xml:space="preserve">kravas SCANIA R 480, kravas SCANIA R 420, kravas SCANIA R114, kravas VOLVO FH12</t>
  </si>
  <si>
    <t xml:space="preserve">AUGŠDAUGAVAS NOVADS, LĪKSNAS PAGASTS, GANČEVSKI BĒRZIŅI</t>
  </si>
  <si>
    <t xml:space="preserve">IK  VAIRS </t>
  </si>
  <si>
    <t xml:space="preserve">kravas DAF XF 105, kravas MERCEDES BENZ ACTROS 1843, kravas DAF FT 85 430, kravas MERCEDES BENZ ACTROS 1844</t>
  </si>
  <si>
    <t xml:space="preserve">DAUGAVPILS, AGLONAS IELA 39-1</t>
  </si>
  <si>
    <t xml:space="preserve">IM TRANSPORT</t>
  </si>
  <si>
    <t xml:space="preserve">kravas SCANIA R 440</t>
  </si>
  <si>
    <t xml:space="preserve">DAUGAVPILS, AVEŅU IELA 21-8</t>
  </si>
  <si>
    <t xml:space="preserve">INFO GROUP LTD</t>
  </si>
  <si>
    <t xml:space="preserve">kravas VOLVO FH, kravas DAF FT XF 105, kravas VOLVO FH</t>
  </si>
  <si>
    <t xml:space="preserve">DAUGAVPILS, VIŠĶU IELA 21M</t>
  </si>
  <si>
    <t xml:space="preserve">JTG</t>
  </si>
  <si>
    <t xml:space="preserve">DAUGAVPILS, PĻAVU IELA 12</t>
  </si>
  <si>
    <t xml:space="preserve">KOSSWAY</t>
  </si>
  <si>
    <t xml:space="preserve">kravas SCANIA R 480, kravas VOLVO FH</t>
  </si>
  <si>
    <t xml:space="preserve">DAUGAVPILS, JELGAVAS IELA 30</t>
  </si>
  <si>
    <t xml:space="preserve">LARSONA AUTO</t>
  </si>
  <si>
    <t xml:space="preserve">kravas SCANIA R 420,  2x kravas VOLVO FH, kravas VOLVO FH12</t>
  </si>
  <si>
    <t xml:space="preserve">DAUGAVPILS, 2. PREČU IELA 10A</t>
  </si>
  <si>
    <t xml:space="preserve">LAUREŅI</t>
  </si>
  <si>
    <t xml:space="preserve">kravas VOLVO FH12, kravas VOLVO FM12</t>
  </si>
  <si>
    <t xml:space="preserve">DAUGAVPILS NOVADS, VIŠĶU PAGASTS LAUREŅI</t>
  </si>
  <si>
    <t xml:space="preserve">LBSE SIA</t>
  </si>
  <si>
    <t xml:space="preserve">kravas SCANIA R 420</t>
  </si>
  <si>
    <t xml:space="preserve">DAUGAVPILS, STRĀDNIEKU IELA 99-41</t>
  </si>
  <si>
    <t xml:space="preserve">LINBAU</t>
  </si>
  <si>
    <t xml:space="preserve">kravas DAF 95 XF 480, kravas MERCEDES BENZ ACTROS 1843, kravas DAF FTXF105.460T, kravas VOLVO FH16</t>
  </si>
  <si>
    <t xml:space="preserve">DAUGAVPILS, BAUSKAS IELA 112-40</t>
  </si>
  <si>
    <t xml:space="preserve">LTS TRANSPORTS</t>
  </si>
  <si>
    <t xml:space="preserve">kravas MAN TGA 18.390</t>
  </si>
  <si>
    <t xml:space="preserve">MARLEX LOGISTICS</t>
  </si>
  <si>
    <t xml:space="preserve">DAUGAVPILS, PARĀDES IELA 15-19</t>
  </si>
  <si>
    <t xml:space="preserve">METROPOL TRAST</t>
  </si>
  <si>
    <t xml:space="preserve">DAUGAVPILS, JELGAVAS IELA 1F</t>
  </si>
  <si>
    <t xml:space="preserve">MEŽINIEKI</t>
  </si>
  <si>
    <t xml:space="preserve"> 3x kravas VOLVO FH,  2x kravas DAF FT XF,  2x kravas MERCEDES BENZ ACTROS 1844</t>
  </si>
  <si>
    <t xml:space="preserve">DAUGAVPILS NOVADS, VIŠĶU PAGASTS MEŽINIEKI</t>
  </si>
  <si>
    <t xml:space="preserve">MPPT TRANSPORT</t>
  </si>
  <si>
    <t xml:space="preserve">DAUGAVPILS, GRODŅAS IELA 34 -13</t>
  </si>
  <si>
    <t xml:space="preserve">MSC</t>
  </si>
  <si>
    <t xml:space="preserve">kravas DAF XF 460 FT</t>
  </si>
  <si>
    <t xml:space="preserve">DAUGAVPILS, LAUSKA IELA 16-55</t>
  </si>
  <si>
    <t xml:space="preserve">NOVEL D</t>
  </si>
  <si>
    <t xml:space="preserve">kravas MAN TGA 18.440</t>
  </si>
  <si>
    <t xml:space="preserve">DAUGAVPILS, STIKLU IELA 10</t>
  </si>
  <si>
    <t xml:space="preserve">OSIS SE</t>
  </si>
  <si>
    <t xml:space="preserve">ILŪKSTES NOVADS, SUBATE, BRĪVĪBAS IELA 19</t>
  </si>
  <si>
    <t xml:space="preserve">OSTROVI</t>
  </si>
  <si>
    <t xml:space="preserve">kravas SCANIA R124, kravas SCANIA P 380, kravas SCANIA R 470, kravas SCANIA R 480, kravas SCANIA G 440</t>
  </si>
  <si>
    <t xml:space="preserve">DAUGAVPILS NOVADS, VECSALIENAS PAGASTS OSTROVI</t>
  </si>
  <si>
    <t xml:space="preserve">PKWOOD</t>
  </si>
  <si>
    <t xml:space="preserve">kravas VOLVO FH 400</t>
  </si>
  <si>
    <t xml:space="preserve">ILŪKSTES NOVADS, EGLAINES PAGASTS, EGLAINE, STENDERA IELA 6-1</t>
  </si>
  <si>
    <t xml:space="preserve">ROD TRANS</t>
  </si>
  <si>
    <t xml:space="preserve">kravas VOLVO FH12, kravas MAN 18.480</t>
  </si>
  <si>
    <t xml:space="preserve">DAUGAVPILS, DZINTARU IELA 58A</t>
  </si>
  <si>
    <t xml:space="preserve">RUĢEĻI TRANSPORTS</t>
  </si>
  <si>
    <t xml:space="preserve">kravas SCANIA G 420</t>
  </si>
  <si>
    <t xml:space="preserve">DAUGAVPILS, SENLEJAS IELA 48</t>
  </si>
  <si>
    <t xml:space="preserve">RŪĶI</t>
  </si>
  <si>
    <t xml:space="preserve">ILŪKSTES NOVADS, PILSKALNES PAGASTS VIENĪBAS</t>
  </si>
  <si>
    <t xml:space="preserve">SĒLIJAS ĀRES</t>
  </si>
  <si>
    <t xml:space="preserve">kravas MAN TGX, kravas MAN 18.413, kravas MAN TGX</t>
  </si>
  <si>
    <t xml:space="preserve">ILŪKSTES NOVADS, EGLAINES PAGASTS ZĀLĪTES</t>
  </si>
  <si>
    <t xml:space="preserve">SIA  ADM SERVISS </t>
  </si>
  <si>
    <t xml:space="preserve">kravas IVECO AT440 S45, kravas MAN TGA 18.430</t>
  </si>
  <si>
    <t xml:space="preserve">AUGŠDAUGAVAS NOVADS, KALKŪNES PAGASTS, KALKŪNI, KALKŪNES IELA 16-24</t>
  </si>
  <si>
    <t xml:space="preserve">SIA  ADVERZA GERMANY </t>
  </si>
  <si>
    <t xml:space="preserve">4x kravas MERCEDES BENZ ACTROS</t>
  </si>
  <si>
    <t xml:space="preserve">DAUGAVPILS, MIHOELSA IELA 3-4</t>
  </si>
  <si>
    <t xml:space="preserve">SIA  AL &amp; M </t>
  </si>
  <si>
    <t xml:space="preserve">kravas SCANIA R 560, kravas VOLVO FH12</t>
  </si>
  <si>
    <t xml:space="preserve">AUGŠDAUGAVAS NOVADS, PILSKALNES PAGASTS ZIEDIŅI</t>
  </si>
  <si>
    <t xml:space="preserve">SIA  ALSVET </t>
  </si>
  <si>
    <t xml:space="preserve"> 2x kravas DAF FT XF 105, kravas MERCEDES BENZ ACTROS</t>
  </si>
  <si>
    <t xml:space="preserve">DAUGAVPILS, VECPILS IELA 5B</t>
  </si>
  <si>
    <t xml:space="preserve">SIA  AP TRANSPORT </t>
  </si>
  <si>
    <t xml:space="preserve">kravas SCANIA R 420, kravas SCANIA R124</t>
  </si>
  <si>
    <t xml:space="preserve">DAUGAVPILS, VARŠAVAS IELA 3-2</t>
  </si>
  <si>
    <t xml:space="preserve">SIA  ARKADA-D </t>
  </si>
  <si>
    <t xml:space="preserve"> 2x kravas IVECO AS440 S43, kravas IVECO AS440 S42</t>
  </si>
  <si>
    <t xml:space="preserve">DAUGAVPILS, STACIJAS IELA 109A-40</t>
  </si>
  <si>
    <t xml:space="preserve">SIA  ASTA TRANS </t>
  </si>
  <si>
    <t xml:space="preserve"> 6x kravas RENAULT MAGNUM</t>
  </si>
  <si>
    <t xml:space="preserve">DAUGAVPILS, TUKUMA IELA 32-57</t>
  </si>
  <si>
    <t xml:space="preserve">SIA  ATD TRANSPORTS </t>
  </si>
  <si>
    <t xml:space="preserve"> 3x kravas DAF FT XF,  4x kravas DAF XF 105</t>
  </si>
  <si>
    <t xml:space="preserve">DAUGAVPILS, NOMETŅU IELA 135A-1</t>
  </si>
  <si>
    <t xml:space="preserve">SIA  AUTO HOUSE BALTIC </t>
  </si>
  <si>
    <t xml:space="preserve">kravas MERCEDES BENZ AXOR 1836, kravas MERCEDES BENZ AXOR 1840</t>
  </si>
  <si>
    <t xml:space="preserve">AUGŠDAUGAVAS NOVADS, EGLAINES PAGASTS, EGLAINE, GAGARINA IELA 8-7</t>
  </si>
  <si>
    <t xml:space="preserve">SIA  AVAN GARDEN </t>
  </si>
  <si>
    <t xml:space="preserve">kravas MAN 18.430</t>
  </si>
  <si>
    <t xml:space="preserve">AUGŠDAUGAVAS NOVADS, SKRUDALIENAS PAGASTS KALNU PŪPOLI</t>
  </si>
  <si>
    <t xml:space="preserve">SIA  ĀTRUMS D </t>
  </si>
  <si>
    <t xml:space="preserve"> 4x kravas DAF XF 105, kravas VOLVO FH12, kravas SCANIA R 420</t>
  </si>
  <si>
    <t xml:space="preserve">DAUGAVPILS, STACIJAS IELA 129V</t>
  </si>
  <si>
    <t xml:space="preserve">SIA  BAROTEX </t>
  </si>
  <si>
    <t xml:space="preserve">kravas MAN TGX 26.540</t>
  </si>
  <si>
    <t xml:space="preserve">DAUGAVPILS, STIKLU IELA 18A</t>
  </si>
  <si>
    <t xml:space="preserve">SIA  BELKOKS </t>
  </si>
  <si>
    <t xml:space="preserve"> 2x kravas VOLVO FH</t>
  </si>
  <si>
    <t xml:space="preserve">DAUGAVPILS, TEĀTRA IELA 15/17 </t>
  </si>
  <si>
    <t xml:space="preserve">SIA  BESTVERSION </t>
  </si>
  <si>
    <t xml:space="preserve">kravas DAF FTS XF, kravas DAF XF 105, kravas DAF XF 95</t>
  </si>
  <si>
    <t xml:space="preserve">DAUGAVPILS, AKADĒMIĶA GRAFTIO IELA 29-41</t>
  </si>
  <si>
    <t xml:space="preserve">SIA  BETONBLOCK </t>
  </si>
  <si>
    <t xml:space="preserve">kravas DAF FT XF</t>
  </si>
  <si>
    <t xml:space="preserve">DAUGAVPILS, SIGULDAS IELA 6D</t>
  </si>
  <si>
    <t xml:space="preserve">SIA  BORUNG D </t>
  </si>
  <si>
    <t xml:space="preserve">kravas DAF XF 105</t>
  </si>
  <si>
    <t xml:space="preserve">DAUGAVPILS, APŠU IELA 11</t>
  </si>
  <si>
    <t xml:space="preserve">SIA  CBF &amp; LANDSCAPE </t>
  </si>
  <si>
    <t xml:space="preserve">kravas MERCEDES BENZ ACTROS</t>
  </si>
  <si>
    <t xml:space="preserve">DAUGAVPILS, ANDREJA PUMPURA IELA 23-1</t>
  </si>
  <si>
    <t xml:space="preserve">SIA  DILAR TRANS </t>
  </si>
  <si>
    <t xml:space="preserve"> 11x kravas VOLVO FH</t>
  </si>
  <si>
    <t xml:space="preserve">DAUGAVPILS NOVADS, NAUJENES PAGASTS, VECSTROPI, KRĀSLAVAS IELA 5</t>
  </si>
  <si>
    <t xml:space="preserve">SIA  DISA-TRANS </t>
  </si>
  <si>
    <t xml:space="preserve">kravas SCANIA R 450</t>
  </si>
  <si>
    <t xml:space="preserve">DAUGAVPILS, TABORES IELA 29</t>
  </si>
  <si>
    <t xml:space="preserve">SIA  DMD TRANS </t>
  </si>
  <si>
    <t xml:space="preserve">kravas DAF XF 105, kravas IVECO AS440 S43, kravas SCANIA PRT, kravas SCANIA R 420, kravas SCANIA R 480, kravas MERCEDES BENZ ACTROS</t>
  </si>
  <si>
    <t xml:space="preserve">DAUGAVPILS, CIALKOVSKA IELA 3-1</t>
  </si>
  <si>
    <t xml:space="preserve">SIA  DSM MEISTARI </t>
  </si>
  <si>
    <t xml:space="preserve">DAUGAVPILS, RĪGAS IELA 20</t>
  </si>
  <si>
    <t xml:space="preserve">SIA  DUBIKI </t>
  </si>
  <si>
    <t xml:space="preserve">kravas SCANIA R 470, kravas SCANIA R 420,  2x kravas SCANIA 114C, kravas SCANIA T420, kravas MAN TGA 18.440, kravas SCANIA R 420</t>
  </si>
  <si>
    <t xml:space="preserve">DAUGAVPILS NOVADS, VECSALIENAS PAGASTS, ČERVONKA ČERVONKA-1</t>
  </si>
  <si>
    <t xml:space="preserve">SIA  ECOSTYLE S </t>
  </si>
  <si>
    <t xml:space="preserve">kravas DAF FTXF 105.410T</t>
  </si>
  <si>
    <t xml:space="preserve">DAUGAVPILS, NERETAS IELA 15 - 6</t>
  </si>
  <si>
    <t xml:space="preserve">SIA  FS TRADER </t>
  </si>
  <si>
    <t xml:space="preserve"> 2x kravas VOLVO FH, kravas MAN TGX 18.400,  2x  3x kravas MERCEDES BENZ ACTROS</t>
  </si>
  <si>
    <t xml:space="preserve">DAUGAVPILS, AGLONAS IELA 34</t>
  </si>
  <si>
    <t xml:space="preserve">SIA  GABOTEH </t>
  </si>
  <si>
    <t xml:space="preserve">kravas SCANIA R 500, kravas SCANIA R 450</t>
  </si>
  <si>
    <t xml:space="preserve">AUGŠDAUGAVAS NOVADS, SUBATE, TIRGUS LAUKUMS 15</t>
  </si>
  <si>
    <t xml:space="preserve">SIA  GERA PRO </t>
  </si>
  <si>
    <t xml:space="preserve">DAUGAVPILS, ĢIMNĀZIJAS IELA 5-21</t>
  </si>
  <si>
    <t xml:space="preserve">SIA  GLĀSTI </t>
  </si>
  <si>
    <t xml:space="preserve"> 3x kravas DAF XF 105, kravas DAF FT XF 105,  2x kravas DAF XF 105</t>
  </si>
  <si>
    <t xml:space="preserve">DAUGAVPILS, JĀTNIEKU IELA 83-61</t>
  </si>
  <si>
    <t xml:space="preserve">SIA  GREEN CLEAN </t>
  </si>
  <si>
    <t xml:space="preserve">DAUGAVPILS, STIKLU IELA 12G</t>
  </si>
  <si>
    <t xml:space="preserve">SIA  GRID </t>
  </si>
  <si>
    <t xml:space="preserve">kravas SCANIA R 420,  2x kravas MERCEDES BENZ ACTROS,  2x kravas MERCEDES BENZ ACTROS 1844</t>
  </si>
  <si>
    <t xml:space="preserve">DAUGAVPILS, VAĻŅU IELA 24</t>
  </si>
  <si>
    <t xml:space="preserve">SIA  GTS TIMBER </t>
  </si>
  <si>
    <t xml:space="preserve">DAUGAVPILS, DOBELES IELA 1M</t>
  </si>
  <si>
    <t xml:space="preserve">SIA  INTERGAZ </t>
  </si>
  <si>
    <t xml:space="preserve">Gāzes transportēšana</t>
  </si>
  <si>
    <t xml:space="preserve">kravas VOLVO FH, kravas SCANIA R 380, kravas VOLVO FH,  3x kravas VOLVO FM</t>
  </si>
  <si>
    <t xml:space="preserve">DAUGAVPILS, VAĻŅU IELA 30</t>
  </si>
  <si>
    <t xml:space="preserve">SIA  JMG TRANS </t>
  </si>
  <si>
    <t xml:space="preserve"> 2x kravas IVECO AS440 S45, kravas IVECO MAGIRUS</t>
  </si>
  <si>
    <t xml:space="preserve">DAUGAVPILS, TELTS IELA 9-8</t>
  </si>
  <si>
    <t xml:space="preserve">SIA  JUNONA BEP </t>
  </si>
  <si>
    <t xml:space="preserve"> 5x kravas MERCEDES BENZ ACTROS, 14x kravas MERCEDES BENZ ACTROS 1844</t>
  </si>
  <si>
    <t xml:space="preserve">DAUGAVPILS, VENTSPILS IELA 75</t>
  </si>
  <si>
    <t xml:space="preserve">SIA  KASALIGAN </t>
  </si>
  <si>
    <t xml:space="preserve">DAUGAVPILS, MIHAILA IELA 12-21</t>
  </si>
  <si>
    <t xml:space="preserve">SIA  KONSULTANT </t>
  </si>
  <si>
    <t xml:space="preserve">kravas SCANIA 124, kravas IVECO AT440 S40, kravas MAN TGA 18.430, kravas MAN TGX 18.400, kravas SCANIA 124L, kravas VOLVO FE</t>
  </si>
  <si>
    <t xml:space="preserve">DAUGAVPILS, KRAUJAS IELA 6</t>
  </si>
  <si>
    <t xml:space="preserve">SIA  LARTRANS </t>
  </si>
  <si>
    <t xml:space="preserve"> 4x kravas MAN TGX</t>
  </si>
  <si>
    <t xml:space="preserve">DAUGAVPILS, STRĀDNIEKU IELA 82 - 19</t>
  </si>
  <si>
    <t xml:space="preserve">SIA  LATGALES ALUS D </t>
  </si>
  <si>
    <t xml:space="preserve">5x kravas MERCEDES BENZ ACTROS, 7x kravas SCANIA R 410</t>
  </si>
  <si>
    <t xml:space="preserve">DAUGAVPILS, DZIRNAVU IELA 22</t>
  </si>
  <si>
    <t xml:space="preserve">SIA  LATGALES LAIVAS </t>
  </si>
  <si>
    <t xml:space="preserve">  6x kravas DAF XF 105, kravas DAF XF 460 FT</t>
  </si>
  <si>
    <t xml:space="preserve">DAUGAVPILS, VIENĪBAS IELA 26-29</t>
  </si>
  <si>
    <t xml:space="preserve">SIA  LBM </t>
  </si>
  <si>
    <t xml:space="preserve">kravas MAN TGA 18.430, kravas MERCEDES BENZ ACTROS, kravas MAN TGA 18.430</t>
  </si>
  <si>
    <t xml:space="preserve">DAUGAVPILS, DOBELES IELA 1 -4</t>
  </si>
  <si>
    <t xml:space="preserve">SIA  LEDLAND BALTICS </t>
  </si>
  <si>
    <t xml:space="preserve">kravas VOLVO FH, kravas MAN TGX,  2x  3x kravas MERCEDES BENZ ACTROS, kravas MAN TGX 18.440</t>
  </si>
  <si>
    <t xml:space="preserve">DAUGAVPILS, STADIONA IELA 12A-11</t>
  </si>
  <si>
    <t xml:space="preserve">SIA  LIDIJA L </t>
  </si>
  <si>
    <t xml:space="preserve">AUGŠDAUGAVAS NOVADS, NAUJENES PAGASTS, STROPI, ELKŠŅU IELA 1</t>
  </si>
  <si>
    <t xml:space="preserve">SIA  LOREKS D </t>
  </si>
  <si>
    <t xml:space="preserve">kravas DAF FT XF,  2x kravas DAF XF 480 FT,  3x kravas DAF XF 460 FT, kravas DAF XF 530 FT,  5x kravas MERCEDES BENZ ACTROS, kravas SCANIA R 450</t>
  </si>
  <si>
    <t xml:space="preserve">DAUGAVPILS, STIKLU IELA 1D</t>
  </si>
  <si>
    <t xml:space="preserve">SIA  LTC </t>
  </si>
  <si>
    <t xml:space="preserve"> 3x kravas VOLVO FH</t>
  </si>
  <si>
    <t xml:space="preserve">DAUGAVPILS, STACIJAS IELA 129J</t>
  </si>
  <si>
    <t xml:space="preserve">SIA  M.O.D. </t>
  </si>
  <si>
    <t xml:space="preserve">kravas SCANIA S 450</t>
  </si>
  <si>
    <t xml:space="preserve">AUGŠDAUGAVAS NOVADS, NAUJENES PAGASTS, KRAUJA, DAUGAVAS IELA 40-4</t>
  </si>
  <si>
    <t xml:space="preserve">SIA  MEGA TRUCKS </t>
  </si>
  <si>
    <t xml:space="preserve">kravas MAN TGA 18.480</t>
  </si>
  <si>
    <t xml:space="preserve">DAUGAVPILS, VECPILS IELA 31A</t>
  </si>
  <si>
    <t xml:space="preserve">SIA  MELIORS KRAUJA </t>
  </si>
  <si>
    <t xml:space="preserve">kravas SCANIA R 480</t>
  </si>
  <si>
    <t xml:space="preserve">DAUGAVPILS NOVADS, NAUJENES PAGASTS, KRAUJA, DAUGAVAS IELA 31</t>
  </si>
  <si>
    <t xml:space="preserve">SIA  MILANO KARGO </t>
  </si>
  <si>
    <t xml:space="preserve">kravas SCANIA G 420,  3x kravas SCANIA R 420,  2x kravas MERCEDES BENZ ACTROS, kravas MERCEDES BENZ ACTROS 1844</t>
  </si>
  <si>
    <t xml:space="preserve">DAUGAVPILS, 18. NOVEMBRA IELA 18A</t>
  </si>
  <si>
    <t xml:space="preserve">SIA  NAN AUTO </t>
  </si>
  <si>
    <t xml:space="preserve">kravas IVECO AS440T/P, kravas IVECO AS440 S43, kravas SCANIA R 420</t>
  </si>
  <si>
    <t xml:space="preserve">DAUGAVPILS, KASTAŅU IELA 20</t>
  </si>
  <si>
    <t xml:space="preserve">SIA  NANIPLUSS </t>
  </si>
  <si>
    <t xml:space="preserve">kravas DAF FT XF 105, kravas MAN 18.430, kravas MAN TGA 18.430</t>
  </si>
  <si>
    <t xml:space="preserve">DAUGAVPILS, DAUGAVAS IELA 104A</t>
  </si>
  <si>
    <t xml:space="preserve">SIA  NP PLUSS </t>
  </si>
  <si>
    <t xml:space="preserve">SIA  PASSAGE </t>
  </si>
  <si>
    <t xml:space="preserve">kravas RENAULT T, kravas DAF XF 105, kravas DAF FT XF, kravas DAF XF 460 FT, kravas SCANIA 114L</t>
  </si>
  <si>
    <t xml:space="preserve">DAUGAVPILS, 18. NOVEMBRA IELA 197D-8</t>
  </si>
  <si>
    <t xml:space="preserve">SIA  PESCADO </t>
  </si>
  <si>
    <t xml:space="preserve">kravas VOLVO FH, kravas SCANIA R 420</t>
  </si>
  <si>
    <t xml:space="preserve">DAUGAVPILS, VAĻŅU IELA 48</t>
  </si>
  <si>
    <t xml:space="preserve">SIA  PIK </t>
  </si>
  <si>
    <t xml:space="preserve"> 2x kravas MAN TGX, kravas MERCEDES BENZ ACTROS</t>
  </si>
  <si>
    <t xml:space="preserve">DAUGAVPILS, ĶIEĢEĻU IELA 8P</t>
  </si>
  <si>
    <t xml:space="preserve">SIA  PL BALT SERVIS </t>
  </si>
  <si>
    <t xml:space="preserve">kravas MAN 19.403,  2x kravas SCANIA R124, kravas MAN 19.403</t>
  </si>
  <si>
    <t xml:space="preserve">DAUGAVPILS, TAUTAS IELA 73-3</t>
  </si>
  <si>
    <t xml:space="preserve">SIA  PRASVA </t>
  </si>
  <si>
    <t xml:space="preserve">kravas VOLVO FH, kravas DAF XF 105, kravas DAF XF 440 FT, kravas DAF FTT XF 105, kravas DAF XF 460 FT, kravas VOLVO FH, kravas DAF FT XF 105,  2x kravas DAF XF 105,  2x  3x  4x kravas DAF XF 460 FT, kravas DAF XF 510 FT, kravas MAN TGX 18.440</t>
  </si>
  <si>
    <t xml:space="preserve">DAUGAVPILS, PATVERSMES IELA 4A</t>
  </si>
  <si>
    <t xml:space="preserve">SIA  RENTCOM </t>
  </si>
  <si>
    <t xml:space="preserve">kravas DAF XF 105, kravas DAF XF 95, kravas SCANIA 124L, kravas DAF FTXF105.460T</t>
  </si>
  <si>
    <t xml:space="preserve">DAUGAVPILS, KAUŅAS IELA 9 -33</t>
  </si>
  <si>
    <t xml:space="preserve">SIA  RIO </t>
  </si>
  <si>
    <t xml:space="preserve">kravas SCANIA 143H</t>
  </si>
  <si>
    <t xml:space="preserve">DAUGAVPILS BALVU  1B</t>
  </si>
  <si>
    <t xml:space="preserve">SIA  ROKĀDE </t>
  </si>
  <si>
    <t xml:space="preserve"> 2x kravas DAF FT XF,  2x kravas DAF XF 105</t>
  </si>
  <si>
    <t xml:space="preserve">DAUGAVPILS, MIERA IELA 3/5-13</t>
  </si>
  <si>
    <t xml:space="preserve">SIA  RSA TRANSPORT </t>
  </si>
  <si>
    <t xml:space="preserve">kravas MAN TGX 18.440</t>
  </si>
  <si>
    <t xml:space="preserve">DAUGAVPILS, RĒZEKNES IELA 3-22</t>
  </si>
  <si>
    <t xml:space="preserve">SIA  SAUJA </t>
  </si>
  <si>
    <t xml:space="preserve">kravas SCANIA G 420, kravas SCANIA R 420,  2x kravas MERCEDES BENZ ACTROS 1844</t>
  </si>
  <si>
    <t xml:space="preserve">DAUGAVPILS, MUITAS IELA 3</t>
  </si>
  <si>
    <t xml:space="preserve">SIA  SAVITRA </t>
  </si>
  <si>
    <t xml:space="preserve">kravas IVECO AS440T/P, kravas SCANIA R124, kravas IVECO 40C15</t>
  </si>
  <si>
    <t xml:space="preserve">AUGŠDAUGAVAS NOVADS, KALKŪNES PAGASTS, KALKŪNI, KALKŪNES IELA 25</t>
  </si>
  <si>
    <t xml:space="preserve">SIA  SIDUNGS </t>
  </si>
  <si>
    <t xml:space="preserve">kravas RENAULT PREMIUM 460</t>
  </si>
  <si>
    <t xml:space="preserve">AUGŠDAUGAVAS NOVADS, MAĻINOVAS PAGASTS, MAĻINOVA, ALEJAS IELA 5</t>
  </si>
  <si>
    <t xml:space="preserve">SIA  SPARTA TRUCK </t>
  </si>
  <si>
    <t xml:space="preserve">3x kravas VOLVO FH</t>
  </si>
  <si>
    <t xml:space="preserve">DAUGAVPILS, VENTSPILS IELA 41-12</t>
  </si>
  <si>
    <t xml:space="preserve">SIA  STARS-D </t>
  </si>
  <si>
    <t xml:space="preserve"> 3x kravas DAF FT XF,  2x kravas DAF XF 105, kravas DAF FT XF,  2x kravas DAF XF 460 FT, kravas DAF FT XF 105, 13x kravas DAF XF 105,  2x kravas DAF XF 460 FT</t>
  </si>
  <si>
    <t xml:space="preserve">AUGŠDAUGAVAS NOVADS, KALKŪNES PAGASTS, KALKŪNI, KALKŪNES IELA 19E</t>
  </si>
  <si>
    <t xml:space="preserve">SIA  STUAL </t>
  </si>
  <si>
    <t xml:space="preserve">kravas DAF XF 480 FT, kravas SCANIA S 450</t>
  </si>
  <si>
    <t xml:space="preserve">DAUGAVPILS, STRAUTU IELA 18</t>
  </si>
  <si>
    <t xml:space="preserve">SIA  SVS TRANSPORTS </t>
  </si>
  <si>
    <t xml:space="preserve"> 4x kravas SCANIA R 410, kravas SCANIA R 420, kravas VOLVO FH, 3x kravas MERCEDES BENZ ACTROS</t>
  </si>
  <si>
    <t xml:space="preserve">DAUGAVPILS NOVADS, KALKŪNES PAGASTS, KALKŪNI, ĶIEĢEĻU IELA 7</t>
  </si>
  <si>
    <t xml:space="preserve">SIA  TAR-TAK </t>
  </si>
  <si>
    <t xml:space="preserve"> 2x kravas MAN TGA 18.440</t>
  </si>
  <si>
    <t xml:space="preserve">AUGŠDAUGAVAS NOVADS, KALKŪNES PAGASTS, MUITAS, MUITAS IELA 1</t>
  </si>
  <si>
    <t xml:space="preserve">SIA  TOP ENERGY </t>
  </si>
  <si>
    <t xml:space="preserve">AUGŠDAUGAVAS NOVADS, KALKŪNES PAGASTS, KALKŪNI, KALKŪNES IELA 19C</t>
  </si>
  <si>
    <t xml:space="preserve">SIA  TOPTEX </t>
  </si>
  <si>
    <t xml:space="preserve">kravas SCANIA G 420, kravas SCANIA R 440</t>
  </si>
  <si>
    <t xml:space="preserve">DAUGAVPILS, VALMIERAS IELA 14</t>
  </si>
  <si>
    <t xml:space="preserve">SIA  TRANSGROS </t>
  </si>
  <si>
    <t xml:space="preserve">kravas DAF XF 105, kravas DAF FT XF, kravas DAF XF 460 FT,  2x kravas DAF XF 105, kravas DAF XF 460 FT</t>
  </si>
  <si>
    <t xml:space="preserve">DAUGAVPILS, SAKŅU IELA 16/18-10</t>
  </si>
  <si>
    <t xml:space="preserve">SIA  TRANSJAN </t>
  </si>
  <si>
    <t xml:space="preserve">kravas DAF FT XF 105, kravas DAF XF 105, kravas MERCEDES BENZ ACTROS</t>
  </si>
  <si>
    <t xml:space="preserve">SIA  TRANS-MILY S.O. </t>
  </si>
  <si>
    <t xml:space="preserve">kravas SCANIA R124,  2x kravas DAF FT XF 105, kravas DAF 95 430</t>
  </si>
  <si>
    <t xml:space="preserve">DAUGAVPILS, LĀČPLĒŠA IELA 39B</t>
  </si>
  <si>
    <t xml:space="preserve">SIA  TRANSPORTA GRUPA SL </t>
  </si>
  <si>
    <t xml:space="preserve">kravas DAF XF 105, kravas DAF FT XF</t>
  </si>
  <si>
    <t xml:space="preserve">DAUGAVPILS, TARTU IELA 4 - 2</t>
  </si>
  <si>
    <t xml:space="preserve">SIA  V.S. TRANS </t>
  </si>
  <si>
    <t xml:space="preserve">SIA  VAP TRANSS </t>
  </si>
  <si>
    <t xml:space="preserve">DAUGAVPILS, SENLEJAS IELA 73</t>
  </si>
  <si>
    <t xml:space="preserve">SIA  VD LOGISTIC </t>
  </si>
  <si>
    <t xml:space="preserve">kravas RENAULT MAGNUM</t>
  </si>
  <si>
    <t xml:space="preserve">DAUGAVPILS, ZEĻINSKA IELA 11-62</t>
  </si>
  <si>
    <t xml:space="preserve">SIA  VELS 2 </t>
  </si>
  <si>
    <t xml:space="preserve">DAUGAVPILS, VIDZEMES IELA 69A-2</t>
  </si>
  <si>
    <t xml:space="preserve">SIA  VILGEN BŪVTEHNIKA </t>
  </si>
  <si>
    <t xml:space="preserve">kravas MAN TGA 18.430</t>
  </si>
  <si>
    <t xml:space="preserve">DAUGAVPILS, CĒSU IELA 16-49</t>
  </si>
  <si>
    <t xml:space="preserve">SIA  ZIRKA </t>
  </si>
  <si>
    <t xml:space="preserve">kravas DAF FT XF, kravas DAF 95 430, kravas DAF XF 105, kravas DAF FT XF, 4x kravas DAF XF 105, 3x kravas DAF XF 460 FT, kravas DAF XF 480 FT</t>
  </si>
  <si>
    <t xml:space="preserve">DAUGAVPILS, 18. NOVEMBRA IELA 193B</t>
  </si>
  <si>
    <t xml:space="preserve">SIA FIKSAUTO</t>
  </si>
  <si>
    <t xml:space="preserve">kravas SCANIA 164L, kravas SCANIA R 380, kravas MAN TGA 18.430, kravas SCANIA R124</t>
  </si>
  <si>
    <t xml:space="preserve">DAUGAVPILS, BIRĶENEĻU IELA 18</t>
  </si>
  <si>
    <t xml:space="preserve">SIA SGD TRANSPORT</t>
  </si>
  <si>
    <t xml:space="preserve">DAUGAVPILS, ARHITEKTU IELA 26-28</t>
  </si>
  <si>
    <t xml:space="preserve">SIA TAMB</t>
  </si>
  <si>
    <t xml:space="preserve">DAUGAVPILS, ĢIMNĀZIJAS IELA 7/9-19</t>
  </si>
  <si>
    <t xml:space="preserve">SPARK D</t>
  </si>
  <si>
    <t xml:space="preserve">DAUGAVPILS, TUKUMA IELA 15-19</t>
  </si>
  <si>
    <t xml:space="preserve">TRAGO</t>
  </si>
  <si>
    <t xml:space="preserve">ILŪKSTES NOVADS, DVIETES PAGASTS, DVIETE BIRZES</t>
  </si>
  <si>
    <t xml:space="preserve">ŪSIŅI</t>
  </si>
  <si>
    <t xml:space="preserve">DAUGAVPILS NOVADS, NĪCGALES PAGASTS, NĪCGALE, LIEPU IELA 7</t>
  </si>
  <si>
    <t xml:space="preserve">VAIVARI</t>
  </si>
  <si>
    <t xml:space="preserve">kravas RENAULT PREMIUM  </t>
  </si>
  <si>
    <t xml:space="preserve"> </t>
  </si>
  <si>
    <t xml:space="preserve">DAUGAVPILS NOVADS, LĪKSNAS PAGASTS MUNCIŠKI</t>
  </si>
  <si>
    <t xml:space="preserve">WERST LD</t>
  </si>
  <si>
    <t xml:space="preserve">DAUGAVPILS, DEMENES IELA 8-1</t>
  </si>
  <si>
    <t xml:space="preserve">Resursi</t>
  </si>
  <si>
    <t xml:space="preserve">Darbinieku skaitsskaits</t>
  </si>
  <si>
    <t xml:space="preserve">SIA “Laba Tehnika”</t>
  </si>
  <si>
    <t xml:space="preserve">Tehnika</t>
  </si>
  <si>
    <t xml:space="preserve">Koržeņevskis Armands 50%, Vorošens Aivars 50%</t>
  </si>
  <si>
    <t xml:space="preserve">Jaunatnes iela 24A, Līksna, Līksnas pagasts, Daugavpils novads, LV-5456</t>
  </si>
  <si>
    <t xml:space="preserve">Lidotāju iela 21, Daugavpils, LV-5401, Latvija</t>
  </si>
  <si>
    <t xml:space="preserve">labatehnika.lv@gmail.com</t>
  </si>
  <si>
    <t xml:space="preserve">https://www.laba-tehnika.lv/</t>
  </si>
  <si>
    <t xml:space="preserve">10 operātori</t>
  </si>
  <si>
    <t xml:space="preserve">30000 eur</t>
  </si>
  <si>
    <t xml:space="preserve">SIA "Būvmehanizācija D"</t>
  </si>
  <si>
    <t xml:space="preserve">Pontags Juris</t>
  </si>
  <si>
    <t xml:space="preserve">Daugavpils, 1. Pasažieru iela 12A</t>
  </si>
  <si>
    <t xml:space="preserve">29414884, 25 475 284</t>
  </si>
  <si>
    <t xml:space="preserve">buvmehanizacijad@inbox.lv</t>
  </si>
  <si>
    <t xml:space="preserve">www.buvmehanizacija.lv</t>
  </si>
  <si>
    <t xml:space="preserve">142 </t>
  </si>
  <si>
    <t xml:space="preserve">SIA "DAUGAVPILS BŪVMEHANIZĀCIJA"</t>
  </si>
  <si>
    <t xml:space="preserve">Pontags Juris 20%,Reuts Josifs 62%,Malina Rostislavs 18%</t>
  </si>
  <si>
    <t xml:space="preserve">5404, Daugavpils, 18. novembra iela 105</t>
  </si>
  <si>
    <t xml:space="preserve">mehanizacija@apollo.lv</t>
  </si>
  <si>
    <t xml:space="preserve">https://www.daugavpilsbuvmehanizacija.lv/</t>
  </si>
  <si>
    <t xml:space="preserve">2844 eur</t>
  </si>
  <si>
    <t xml:space="preserve">SIA "Defass-D"</t>
  </si>
  <si>
    <t xml:space="preserve">Nazarovs Sergejs 50%,Cinne Aleksandrs 50%</t>
  </si>
  <si>
    <t xml:space="preserve">6150 eur</t>
  </si>
  <si>
    <t xml:space="preserve">SIA "BELMAST BŪVE"</t>
  </si>
  <si>
    <t xml:space="preserve">Kumeiskis Sergejs 20%,Zakrževskis Aleksejs 50%,Turčenko Aleksejs 30%</t>
  </si>
  <si>
    <t xml:space="preserve">Višķu iela 23, Daugavpils, LV-5410;  </t>
  </si>
  <si>
    <t xml:space="preserve">Višķu iela 21z, Daugavpils,
Latvija, LV-5410</t>
  </si>
  <si>
    <t xml:space="preserve">28457 eur</t>
  </si>
  <si>
    <t xml:space="preserve">SIA “Konsultant”</t>
  </si>
  <si>
    <t xml:space="preserve">Šerskis Pāvels</t>
  </si>
  <si>
    <t xml:space="preserve"> Kraujas 6, Daugavpils, LV-5401</t>
  </si>
  <si>
    <t xml:space="preserve">pserskis@gmail.com</t>
  </si>
  <si>
    <t xml:space="preserve">2842 eur</t>
  </si>
  <si>
    <t xml:space="preserve">DB Transports, SIA</t>
  </si>
  <si>
    <t xml:space="preserve">Osipovs Vadims, Ostapko Lilija</t>
  </si>
  <si>
    <t xml:space="preserve">Vaļņu iela 46, Daugavpils, LV-5401</t>
  </si>
  <si>
    <t xml:space="preserve">2 844.00 EUR</t>
  </si>
  <si>
    <t xml:space="preserve">Eco Baltia vide, SIA</t>
  </si>
  <si>
    <t xml:space="preserve">Korsakaite Deimante</t>
  </si>
  <si>
    <t xml:space="preserve">Getliņu iela 5, Rumbula, Stopiņu pagasts, Ropažu novads, LV-2121</t>
  </si>
  <si>
    <t xml:space="preserve">Dunduru iela 13A, Daugavpils, LV-5414</t>
  </si>
  <si>
    <t xml:space="preserve">info@ecobaltiavide.lv</t>
  </si>
  <si>
    <t xml:space="preserve">https://www.ecobaltiavide.lv</t>
  </si>
  <si>
    <t xml:space="preserve">17 483 470.00 EUR</t>
  </si>
  <si>
    <t xml:space="preserve">SIA, Borg</t>
  </si>
  <si>
    <t xml:space="preserve">Skorodihins Sergejs</t>
  </si>
  <si>
    <t xml:space="preserve"> Mazā Dārza iela 5 - 7, Daugavpils, LV-5404</t>
  </si>
  <si>
    <t xml:space="preserve">Spaļu iela 1L, Daugavpils, LV-5404</t>
  </si>
  <si>
    <t xml:space="preserve"> +371 65425906</t>
  </si>
  <si>
    <t xml:space="preserve">21 343.00 EUR</t>
  </si>
  <si>
    <t xml:space="preserve">SIA "Storent"</t>
  </si>
  <si>
    <t xml:space="preserve">AS “Storent Investments” - Bisnieks Andris, Pavlovs Andris</t>
  </si>
  <si>
    <t xml:space="preserve"> Zolitūdes iela 89, Rīga, LV-1046</t>
  </si>
  <si>
    <t xml:space="preserve">1. Pasažieru iela 4A, Daugavpils, LV-5401</t>
  </si>
  <si>
    <t xml:space="preserve">+371 20 273 934</t>
  </si>
  <si>
    <t xml:space="preserve">daugavpils@storent.com</t>
  </si>
  <si>
    <t xml:space="preserve">https://www.storent.lv/</t>
  </si>
  <si>
    <t xml:space="preserve">85 – visā Latvija</t>
  </si>
  <si>
    <t xml:space="preserve">6 811 133.00 EUR</t>
  </si>
  <si>
    <t xml:space="preserve">SIA "Latgales Ceļdaris"</t>
  </si>
  <si>
    <t xml:space="preserve">Tehnika, Būvmateriāli</t>
  </si>
  <si>
    <t xml:space="preserve">Juodvirsis Remigijus,Drobužas Gvidas</t>
  </si>
  <si>
    <t xml:space="preserve">5410, Daugavpils, Mendelejeva iela 21</t>
  </si>
  <si>
    <t xml:space="preserve">+371 65442804</t>
  </si>
  <si>
    <t xml:space="preserve">ofice@latgalesceldaris.lv</t>
  </si>
  <si>
    <t xml:space="preserve">https://www.latgalesceldaris.lv</t>
  </si>
  <si>
    <t xml:space="preserve">3086796 eur</t>
  </si>
  <si>
    <t xml:space="preserve">SIA “Danmet”</t>
  </si>
  <si>
    <t xml:space="preserve">Tehnika, Detaļas</t>
  </si>
  <si>
    <t xml:space="preserve">Katjkovs Sergejs 50%, Skromāne Ilona 50%</t>
  </si>
  <si>
    <t xml:space="preserve">Mendeļejeva 15, Daugavpils, LV-5410</t>
  </si>
  <si>
    <t xml:space="preserve">danmet@inbox.lv</t>
  </si>
  <si>
    <t xml:space="preserve">14000 eur</t>
  </si>
  <si>
    <t xml:space="preserve">AS "DAUGAVPILS SPECIALIZĒTAIS AUTOTRANSPORTA UZŅĒMUMS+D+B28:F28</t>
  </si>
  <si>
    <t xml:space="preserve">Tehnika, Loģistika</t>
  </si>
  <si>
    <t xml:space="preserve">Šelkovska Inna, Karnauhova Lilija, Oglodkovs Aleksejs</t>
  </si>
  <si>
    <t xml:space="preserve">Slāvu iela 6, Daugavpils, LV-5404</t>
  </si>
  <si>
    <t xml:space="preserve">371 65 444 540, +371 65410031</t>
  </si>
  <si>
    <t xml:space="preserve">specatu@specatu.lv</t>
  </si>
  <si>
    <t xml:space="preserve">http://www.specatu.lv/</t>
  </si>
  <si>
    <t xml:space="preserve">538 512.80 EUR</t>
  </si>
  <si>
    <t xml:space="preserve">SIA "BUILDER INDUSTRY"</t>
  </si>
  <si>
    <t xml:space="preserve">Tehnika?</t>
  </si>
  <si>
    <t xml:space="preserve">Čipats Artūrs</t>
  </si>
  <si>
    <t xml:space="preserve">18. novembra iela 31 - 8, Daugavpils, LV-5401</t>
  </si>
  <si>
    <t xml:space="preserve"> 18. novembra iela 31 - 8, Daugavpils, LV-5401</t>
  </si>
  <si>
    <t xml:space="preserve">+371 22 007 772</t>
  </si>
  <si>
    <t xml:space="preserve">ofiss@builder.lv</t>
  </si>
  <si>
    <t xml:space="preserve"> 7114 eur</t>
  </si>
  <si>
    <t xml:space="preserve">SIA “Teks”  </t>
  </si>
  <si>
    <t xml:space="preserve">Noliktava</t>
  </si>
  <si>
    <t xml:space="preserve">Gusarovs Sergejs 67%, Gusarovs Aleksandrs 33%</t>
  </si>
  <si>
    <t xml:space="preserve">Jelgavas iela 1T
Daugavpils, LV-5404 ,Latvia</t>
  </si>
  <si>
    <t xml:space="preserve">    29 556 321 ,65 407 962</t>
  </si>
  <si>
    <t xml:space="preserve"> 284574 eur</t>
  </si>
  <si>
    <t xml:space="preserve">Latvijas-Krievijas kopuzņemums</t>
  </si>
  <si>
    <t xml:space="preserve">SIA „Daugavpils gaita”</t>
  </si>
  <si>
    <t xml:space="preserve">Petrova Tatjana</t>
  </si>
  <si>
    <t xml:space="preserve">5413, Daugavpils, 18. novembra iela 380</t>
  </si>
  <si>
    <t xml:space="preserve">+371 25921085,+371 26162163,  +371 65459110</t>
  </si>
  <si>
    <t xml:space="preserve">daugavpilsgaita@gmail.com</t>
  </si>
  <si>
    <t xml:space="preserve">8 008.00 EUR</t>
  </si>
  <si>
    <t xml:space="preserve">none</t>
  </si>
  <si>
    <t xml:space="preserve">Uzglabāšana un noliktavu saimniecība.
Pārējās transporta palīgdarbības</t>
  </si>
  <si>
    <t xml:space="preserve">Riannon, SIA</t>
  </si>
  <si>
    <t xml:space="preserve">Haritonovs Dmitrijs</t>
  </si>
  <si>
    <t xml:space="preserve">2. Preču iela 32 k-2,  k-1, Daugavpils, LV-5404;</t>
  </si>
  <si>
    <t xml:space="preserve">17 040.00 EUR</t>
  </si>
  <si>
    <t xml:space="preserve">Citu mašīnu un iekārtu vairumtirdzniecība</t>
  </si>
  <si>
    <t xml:space="preserve">Ipašnieks dz. Vācija. Kontaktpersona Latvijā Krusinska Olga</t>
  </si>
  <si>
    <t xml:space="preserve"> arī Krievijā</t>
  </si>
  <si>
    <t xml:space="preserve">Darbs ar bīstamām (ADR / RID) kravām, ir sava dzelzceļa līnija</t>
  </si>
  <si>
    <t xml:space="preserve">Remonts, pārvādājumi ar treileriem, sadarbība: Moldova, Ukraina, Eiropa.</t>
  </si>
  <si>
    <t xml:space="preserve">sadarbība ar Eiropu, NVS valstim un Dienvidaustrumu Āziju</t>
  </si>
  <si>
    <t xml:space="preserve">Kravu pārvadājumi Baltijas valstīs, Latvija, Igaunija, Lietuva, kravu pārvadājumi Daugavpilī, Daugavpils novads, kravu pārvadājumi līdz 13 t, pašizgāzējs līdz 2 t, pašizgāzējs Daugavpilī, mašīna ar manipulatoru, manipulators Daugavpilī. Kravas auto remonts</t>
  </si>
  <si>
    <t xml:space="preserve">Autobusu noma</t>
  </si>
  <si>
    <t xml:space="preserve">Yellow – Facebook profils</t>
  </si>
  <si>
    <t xml:space="preserve">Mednis, SIA Daugavpils pilsētas</t>
  </si>
  <si>
    <t xml:space="preserve">Adrese Saistīta ar kriminālo autoritāti Vasiliju Krupeniču</t>
  </si>
  <si>
    <t xml:space="preserve">36 tramvaju un 57 autobusu</t>
  </si>
  <si>
    <t xml:space="preserve">Daugavpils, Kārklu 4c, LV 5401</t>
  </si>
  <si>
    <t xml:space="preserve">Ir tikai divi darbinieki, parāk mazs uzņēmums</t>
  </si>
  <si>
    <t xml:space="preserve">Augšdaugavas nov., Subate, Tirgus laukums 15</t>
  </si>
  <si>
    <t xml:space="preserve">Nav Daugavpilī</t>
  </si>
  <si>
    <t xml:space="preserve">Politiskā partija "Republika" – Korsenkovs J.</t>
  </si>
  <si>
    <t xml:space="preserve">Yellow – politiskaa piederiiba</t>
  </si>
  <si>
    <t xml:space="preserve">Gultņu, zobratu, pārnesumu un piedziņas elementu ražošana</t>
  </si>
  <si>
    <t xml:space="preserve">Zviedrijas uzņēmums, Latvijā filiāles</t>
  </si>
  <si>
    <t xml:space="preserve">https://bnn-news.com/osinovskis-million-case-elksnins-requested-money-for-knab-196120</t>
  </si>
  <si>
    <t xml:space="preserve">Red – Knab skandals</t>
  </si>
  <si>
    <t xml:space="preserve">Augšdaugavas nov., Līksnas pag., Līksna, Jaunatnes iela 24A</t>
  </si>
  <si>
    <t xml:space="preserve">dibināts 2021.gadā</t>
  </si>
  <si>
    <t xml:space="preserve">ir profils odnoklassniki</t>
  </si>
  <si>
    <t xml:space="preserve">Ir līgums ar NBS</t>
  </si>
  <si>
    <t xml:space="preserve">none?</t>
  </si>
  <si>
    <t xml:space="preserve">Būvniecības mašīnu un iekārtu iznomāšana un ekspluatācijas līzings</t>
  </si>
  <si>
    <t xml:space="preserve"> Getliņu iela 5, Rumbula, Stopiņu pag., Ropažu nov., LV-2121</t>
  </si>
  <si>
    <t xml:space="preserve">Dzivo Lietuvaa</t>
  </si>
  <si>
    <t xml:space="preserve">Yellow – dziivo Lietuvaa</t>
  </si>
  <si>
    <t xml:space="preserve">Atkritumu savākšana (izņemot bīstamos atkritumus)</t>
  </si>
  <si>
    <t xml:space="preserve">Dzīvojamo un nedzīvojamo ēku būvniecība</t>
  </si>
  <si>
    <t xml:space="preserve">85 – visa Latvija</t>
  </si>
  <si>
    <t xml:space="preserve">??????????</t>
  </si>
  <si>
    <t xml:space="preserve">Riiga??</t>
  </si>
  <si>
    <t xml:space="preserve">min 5 DPD tenders, īpašnieki lietuvieši</t>
  </si>
  <si>
    <t xml:space="preserve">Kravu pārvadājumi/ metāla apstrāde </t>
  </si>
  <si>
    <t xml:space="preserve">Oglogkovs ???</t>
  </si>
  <si>
    <t xml:space="preserve">Cita veida tīrīšanas darbības</t>
  </si>
  <si>
    <t xml:space="preserve">UZ 24.05.2022. REĢISTRĒTIE KRAVAS AUTOMOBIĻI - VILCĒJI</t>
  </si>
  <si>
    <t xml:space="preserve">TIPS</t>
  </si>
  <si>
    <t xml:space="preserve">RN</t>
  </si>
  <si>
    <t xml:space="preserve">MARKA</t>
  </si>
  <si>
    <t xml:space="preserve">MODELIS</t>
  </si>
  <si>
    <t xml:space="preserve">kopā</t>
  </si>
  <si>
    <t xml:space="preserve">IZG_GADS</t>
  </si>
  <si>
    <t xml:space="preserve">PILNA_MASA</t>
  </si>
  <si>
    <t xml:space="preserve">PAŠMASA</t>
  </si>
  <si>
    <t xml:space="preserve">STATUSS</t>
  </si>
  <si>
    <t xml:space="preserve">NĀKAMĀS TA DATUMS</t>
  </si>
  <si>
    <t xml:space="preserve">TURĒTĀJS</t>
  </si>
  <si>
    <t xml:space="preserve">Resurs kopā</t>
  </si>
  <si>
    <t xml:space="preserve">TURĒTĀJA REĢ. NR.</t>
  </si>
  <si>
    <t xml:space="preserve">TURĒTĀJA ADRESE</t>
  </si>
  <si>
    <t xml:space="preserve">Google Coordinates</t>
  </si>
  <si>
    <t xml:space="preserve">PIZĪMES</t>
  </si>
  <si>
    <t xml:space="preserve">SKAITS</t>
  </si>
  <si>
    <t xml:space="preserve">kravas</t>
  </si>
  <si>
    <t xml:space="preserve">MA2582</t>
  </si>
  <si>
    <t xml:space="preserve">DAF</t>
  </si>
  <si>
    <t xml:space="preserve">XF 105</t>
  </si>
  <si>
    <t xml:space="preserve">uzskaitē</t>
  </si>
  <si>
    <t xml:space="preserve">40203191861</t>
  </si>
  <si>
    <t xml:space="preserve">MK2904</t>
  </si>
  <si>
    <t xml:space="preserve">XF 460 FT</t>
  </si>
  <si>
    <t xml:space="preserve">KV7002</t>
  </si>
  <si>
    <t xml:space="preserve">SCANIA</t>
  </si>
  <si>
    <t xml:space="preserve">G 400</t>
  </si>
  <si>
    <t xml:space="preserve">41503049541</t>
  </si>
  <si>
    <t xml:space="preserve">GL6177</t>
  </si>
  <si>
    <t xml:space="preserve">VOLVO</t>
  </si>
  <si>
    <t xml:space="preserve">FH</t>
  </si>
  <si>
    <t xml:space="preserve">41503081339</t>
  </si>
  <si>
    <t xml:space="preserve">MZ2045</t>
  </si>
  <si>
    <t xml:space="preserve">FTCF</t>
  </si>
  <si>
    <t xml:space="preserve">41501017344</t>
  </si>
  <si>
    <t xml:space="preserve">HK6638</t>
  </si>
  <si>
    <t xml:space="preserve">FT XF 105</t>
  </si>
  <si>
    <t xml:space="preserve">41503077418</t>
  </si>
  <si>
    <t xml:space="preserve">GE8867</t>
  </si>
  <si>
    <t xml:space="preserve">41501020664</t>
  </si>
  <si>
    <t xml:space="preserve">JP1087</t>
  </si>
  <si>
    <t xml:space="preserve">114L</t>
  </si>
  <si>
    <t xml:space="preserve">kravas SCANIA 114L</t>
  </si>
  <si>
    <t xml:space="preserve">reģistrācija pārtraukta</t>
  </si>
  <si>
    <t xml:space="preserve">41503002447</t>
  </si>
  <si>
    <t xml:space="preserve">JK6176</t>
  </si>
  <si>
    <t xml:space="preserve">MERCEDES BENZ</t>
  </si>
  <si>
    <t xml:space="preserve">ACTROS</t>
  </si>
  <si>
    <t xml:space="preserve">KS3922</t>
  </si>
  <si>
    <t xml:space="preserve">MH4454</t>
  </si>
  <si>
    <t xml:space="preserve">41503084941</t>
  </si>
  <si>
    <t xml:space="preserve">KT7049</t>
  </si>
  <si>
    <t xml:space="preserve">MC9789</t>
  </si>
  <si>
    <t xml:space="preserve">FTXF105.460T</t>
  </si>
  <si>
    <t xml:space="preserve">41503046884</t>
  </si>
  <si>
    <t xml:space="preserve">MF1912</t>
  </si>
  <si>
    <t xml:space="preserve">41501000456</t>
  </si>
  <si>
    <t xml:space="preserve">FZ6703</t>
  </si>
  <si>
    <t xml:space="preserve">XF 95</t>
  </si>
  <si>
    <t xml:space="preserve">51501005101</t>
  </si>
  <si>
    <t xml:space="preserve">KF3669</t>
  </si>
  <si>
    <t xml:space="preserve">FH12</t>
  </si>
  <si>
    <t xml:space="preserve">41503038586</t>
  </si>
  <si>
    <t xml:space="preserve">MR4352</t>
  </si>
  <si>
    <t xml:space="preserve">R124</t>
  </si>
  <si>
    <t xml:space="preserve">kravas SCANIA R124</t>
  </si>
  <si>
    <t xml:space="preserve">DAUGAVPILS, 18. NOVEMBRA IELA 186 -56</t>
  </si>
  <si>
    <t xml:space="preserve">KG8850</t>
  </si>
  <si>
    <t xml:space="preserve">HF5895</t>
  </si>
  <si>
    <t xml:space="preserve">MAN</t>
  </si>
  <si>
    <t xml:space="preserve">26.372</t>
  </si>
  <si>
    <t xml:space="preserve">41503004630</t>
  </si>
  <si>
    <t xml:space="preserve">HS1457</t>
  </si>
  <si>
    <t xml:space="preserve">R 500</t>
  </si>
  <si>
    <t xml:space="preserve">kravas SCANIA R 500</t>
  </si>
  <si>
    <t xml:space="preserve">DINABURGA ROSME</t>
  </si>
  <si>
    <t xml:space="preserve">40002014109</t>
  </si>
  <si>
    <t xml:space="preserve">DAUGAVPILS, RAIŅA IELA 28</t>
  </si>
  <si>
    <t xml:space="preserve">JA4727</t>
  </si>
  <si>
    <t xml:space="preserve">JO4498</t>
  </si>
  <si>
    <t xml:space="preserve">R 410</t>
  </si>
  <si>
    <t xml:space="preserve">kravas SCANIA R 410</t>
  </si>
  <si>
    <t xml:space="preserve">JO4496</t>
  </si>
  <si>
    <t xml:space="preserve">FM5910</t>
  </si>
  <si>
    <t xml:space="preserve">R 420</t>
  </si>
  <si>
    <t xml:space="preserve">GV6187</t>
  </si>
  <si>
    <t xml:space="preserve">GJ5976</t>
  </si>
  <si>
    <t xml:space="preserve"> 2x kravas SCANIA R 500,  2x kravas SCANIA R 410,  2x  3x kravas SCANIA R 420</t>
  </si>
  <si>
    <t xml:space="preserve">LC9193</t>
  </si>
  <si>
    <t xml:space="preserve">41503033150</t>
  </si>
  <si>
    <t xml:space="preserve">HV4115</t>
  </si>
  <si>
    <t xml:space="preserve">VR4701</t>
  </si>
  <si>
    <t xml:space="preserve">HV8021</t>
  </si>
  <si>
    <t xml:space="preserve"> 2x  3x  4x kravas DAF XF 105</t>
  </si>
  <si>
    <t xml:space="preserve">GR7799</t>
  </si>
  <si>
    <t xml:space="preserve">41503040769</t>
  </si>
  <si>
    <t xml:space="preserve">HC3247</t>
  </si>
  <si>
    <t xml:space="preserve">DAUGAVPILS, ĢIMNĀZIJAS IELA 10A-11</t>
  </si>
  <si>
    <t xml:space="preserve">JF5577</t>
  </si>
  <si>
    <t xml:space="preserve">FT XF</t>
  </si>
  <si>
    <t xml:space="preserve">DAUGAVPILS, ĢIMNĀZIJAS IELA 10A - 11</t>
  </si>
  <si>
    <t xml:space="preserve">DZ8149</t>
  </si>
  <si>
    <t xml:space="preserve">41503027313</t>
  </si>
  <si>
    <t xml:space="preserve">MS6982</t>
  </si>
  <si>
    <t xml:space="preserve">R 480</t>
  </si>
  <si>
    <t xml:space="preserve">41502032247</t>
  </si>
  <si>
    <t xml:space="preserve">FG6902</t>
  </si>
  <si>
    <t xml:space="preserve">DAUGAVPILS NOVADS, LĪKSNAS PAGASTS, GANČEVSKI BĒRZIŅI</t>
  </si>
  <si>
    <t xml:space="preserve">JR6679</t>
  </si>
  <si>
    <t xml:space="preserve">R114</t>
  </si>
  <si>
    <t xml:space="preserve">kravas SCANIA R114</t>
  </si>
  <si>
    <t xml:space="preserve">DAUGAVPILS NOVADS, LĪKSNAS PAGASTS, GANČEVSKI BĒRZIčI</t>
  </si>
  <si>
    <t xml:space="preserve">LT472</t>
  </si>
  <si>
    <t xml:space="preserve">HL2016</t>
  </si>
  <si>
    <t xml:space="preserve">41502019323</t>
  </si>
  <si>
    <t xml:space="preserve">HR8446</t>
  </si>
  <si>
    <t xml:space="preserve">ACTROS 1843</t>
  </si>
  <si>
    <t xml:space="preserve">kravas MERCEDES BENZ ACTROS 1843</t>
  </si>
  <si>
    <t xml:space="preserve">JE2064</t>
  </si>
  <si>
    <t xml:space="preserve">FT 85 430</t>
  </si>
  <si>
    <t xml:space="preserve">kravas DAF FT 85 430</t>
  </si>
  <si>
    <t xml:space="preserve">GZ8168</t>
  </si>
  <si>
    <t xml:space="preserve">ACTROS 1844</t>
  </si>
  <si>
    <t xml:space="preserve">kravas MERCEDES BENZ ACTROS 1844</t>
  </si>
  <si>
    <t xml:space="preserve">LO6703</t>
  </si>
  <si>
    <t xml:space="preserve">R 440</t>
  </si>
  <si>
    <t xml:space="preserve">50203109191</t>
  </si>
  <si>
    <t xml:space="preserve">KK4882</t>
  </si>
  <si>
    <t xml:space="preserve">41503063742</t>
  </si>
  <si>
    <t xml:space="preserve">LM882</t>
  </si>
  <si>
    <t xml:space="preserve">HN4644</t>
  </si>
  <si>
    <t xml:space="preserve">FT7948</t>
  </si>
  <si>
    <t xml:space="preserve">P114</t>
  </si>
  <si>
    <t xml:space="preserve">kravas SCANIA P114</t>
  </si>
  <si>
    <t xml:space="preserve">INGRID A</t>
  </si>
  <si>
    <t xml:space="preserve">41503003476</t>
  </si>
  <si>
    <t xml:space="preserve">DAUGAVPILS RAJONS VAĻŅU 2</t>
  </si>
  <si>
    <t xml:space="preserve">FJ2868</t>
  </si>
  <si>
    <t xml:space="preserve">P 380</t>
  </si>
  <si>
    <t xml:space="preserve">kravas SCANIA P 380</t>
  </si>
  <si>
    <t xml:space="preserve">DAUGAVPILS, VAĻŅU IELA 2</t>
  </si>
  <si>
    <t xml:space="preserve">EC5136</t>
  </si>
  <si>
    <t xml:space="preserve">P124</t>
  </si>
  <si>
    <t xml:space="preserve">kravas SCANIA P124</t>
  </si>
  <si>
    <t xml:space="preserve">kravas SCANIA P114, kravas SCANIA P 380, kravas SCANIA P124</t>
  </si>
  <si>
    <t xml:space="preserve">JV3264</t>
  </si>
  <si>
    <t xml:space="preserve">41503076624</t>
  </si>
  <si>
    <t xml:space="preserve">MA7967</t>
  </si>
  <si>
    <t xml:space="preserve">41503081150</t>
  </si>
  <si>
    <t xml:space="preserve">MC9952</t>
  </si>
  <si>
    <t xml:space="preserve">KJ4510</t>
  </si>
  <si>
    <t xml:space="preserve">41503041586</t>
  </si>
  <si>
    <t xml:space="preserve">HC2036</t>
  </si>
  <si>
    <t xml:space="preserve">HD5527</t>
  </si>
  <si>
    <t xml:space="preserve">HS5314</t>
  </si>
  <si>
    <t xml:space="preserve">NB4688</t>
  </si>
  <si>
    <t xml:space="preserve">41501010914</t>
  </si>
  <si>
    <t xml:space="preserve">MD9043</t>
  </si>
  <si>
    <t xml:space="preserve">FM12</t>
  </si>
  <si>
    <t xml:space="preserve">kravas VOLVO FM12</t>
  </si>
  <si>
    <t xml:space="preserve">DAUGAVPILS NOVADS, VIŠĶU PAGASTS, LAUREŅI</t>
  </si>
  <si>
    <t xml:space="preserve">HT4427</t>
  </si>
  <si>
    <t xml:space="preserve">40203333193</t>
  </si>
  <si>
    <t xml:space="preserve">GT7132</t>
  </si>
  <si>
    <t xml:space="preserve">95 XF 480</t>
  </si>
  <si>
    <t xml:space="preserve">kravas DAF 95 XF 480</t>
  </si>
  <si>
    <t xml:space="preserve">noņemts no uzskaites</t>
  </si>
  <si>
    <t xml:space="preserve">41503053119</t>
  </si>
  <si>
    <t xml:space="preserve">Diānas Bižānes tēvs</t>
  </si>
  <si>
    <t xml:space="preserve">LG5425</t>
  </si>
  <si>
    <t xml:space="preserve">DAUGAVPILS, BAUSKAS IELA 112 -40</t>
  </si>
  <si>
    <t xml:space="preserve">MO7930</t>
  </si>
  <si>
    <t xml:space="preserve">KC5137</t>
  </si>
  <si>
    <t xml:space="preserve">FH16</t>
  </si>
  <si>
    <t xml:space="preserve">kravas VOLVO FH16</t>
  </si>
  <si>
    <t xml:space="preserve">JU4620</t>
  </si>
  <si>
    <t xml:space="preserve">TGA 18.390</t>
  </si>
  <si>
    <t xml:space="preserve">41503085222</t>
  </si>
  <si>
    <t xml:space="preserve">KS6067</t>
  </si>
  <si>
    <t xml:space="preserve">41503088106</t>
  </si>
  <si>
    <t xml:space="preserve">GV6161</t>
  </si>
  <si>
    <t xml:space="preserve">41503049306</t>
  </si>
  <si>
    <t xml:space="preserve">KH2013</t>
  </si>
  <si>
    <t xml:space="preserve">41501022928</t>
  </si>
  <si>
    <t xml:space="preserve">KR9729</t>
  </si>
  <si>
    <t xml:space="preserve">MD3643</t>
  </si>
  <si>
    <t xml:space="preserve">KM8382</t>
  </si>
  <si>
    <t xml:space="preserve">KM8385</t>
  </si>
  <si>
    <t xml:space="preserve">KC7379</t>
  </si>
  <si>
    <t xml:space="preserve">HB6181</t>
  </si>
  <si>
    <t xml:space="preserve"> 2x  3x kravas VOLVO FH,  2x kravas DAF FT XF,  2x kravas MERCEDES BENZ ACTROS 1844</t>
  </si>
  <si>
    <t xml:space="preserve">HF5739</t>
  </si>
  <si>
    <t xml:space="preserve">41503073346</t>
  </si>
  <si>
    <t xml:space="preserve">LI1683</t>
  </si>
  <si>
    <t xml:space="preserve">50203088241</t>
  </si>
  <si>
    <t xml:space="preserve">KF3870</t>
  </si>
  <si>
    <t xml:space="preserve">TGA 18.440</t>
  </si>
  <si>
    <t xml:space="preserve">41503051851</t>
  </si>
  <si>
    <t xml:space="preserve">KE6403</t>
  </si>
  <si>
    <t xml:space="preserve">41503001282</t>
  </si>
  <si>
    <t xml:space="preserve">LK4319</t>
  </si>
  <si>
    <t xml:space="preserve">41501003081</t>
  </si>
  <si>
    <t xml:space="preserve">MV8943</t>
  </si>
  <si>
    <t xml:space="preserve">KT8978</t>
  </si>
  <si>
    <t xml:space="preserve">R 470</t>
  </si>
  <si>
    <t xml:space="preserve">kravas SCANIA R 470</t>
  </si>
  <si>
    <t xml:space="preserve">MR3590</t>
  </si>
  <si>
    <t xml:space="preserve">MR3591</t>
  </si>
  <si>
    <t xml:space="preserve">G 440</t>
  </si>
  <si>
    <t xml:space="preserve">kravas SCANIA G 440</t>
  </si>
  <si>
    <t xml:space="preserve">JL5714</t>
  </si>
  <si>
    <t xml:space="preserve">FH 400</t>
  </si>
  <si>
    <t xml:space="preserve">41503080244</t>
  </si>
  <si>
    <t xml:space="preserve">HO3632</t>
  </si>
  <si>
    <t xml:space="preserve">41503080352</t>
  </si>
  <si>
    <t xml:space="preserve">18.480</t>
  </si>
  <si>
    <t xml:space="preserve">kravas MAN 18.480</t>
  </si>
  <si>
    <t xml:space="preserve">JA5921</t>
  </si>
  <si>
    <t xml:space="preserve">G 420</t>
  </si>
  <si>
    <t xml:space="preserve">41503078663</t>
  </si>
  <si>
    <t xml:space="preserve">MS6788</t>
  </si>
  <si>
    <t xml:space="preserve">41501026135</t>
  </si>
  <si>
    <t xml:space="preserve">NC777</t>
  </si>
  <si>
    <t xml:space="preserve">TGX</t>
  </si>
  <si>
    <t xml:space="preserve">kravas MAN TGX</t>
  </si>
  <si>
    <t xml:space="preserve">41503033165</t>
  </si>
  <si>
    <t xml:space="preserve">LM6648</t>
  </si>
  <si>
    <t xml:space="preserve">18.413</t>
  </si>
  <si>
    <t xml:space="preserve">kravas MAN 18.413</t>
  </si>
  <si>
    <t xml:space="preserve">MD5108</t>
  </si>
  <si>
    <t xml:space="preserve">KI1031</t>
  </si>
  <si>
    <t xml:space="preserve">IVECO</t>
  </si>
  <si>
    <t xml:space="preserve">AT440 S45</t>
  </si>
  <si>
    <t xml:space="preserve">kravas IVECO AT440 S45</t>
  </si>
  <si>
    <t xml:space="preserve">41503079476</t>
  </si>
  <si>
    <t xml:space="preserve">JU5824</t>
  </si>
  <si>
    <t xml:space="preserve">TGA 18.430</t>
  </si>
  <si>
    <t xml:space="preserve">DAUGAVPILS NOVADS, KALKŪNES PAGASTS, KALKŪNI, KALKŪNES IELA 16-24</t>
  </si>
  <si>
    <t xml:space="preserve">MS7632</t>
  </si>
  <si>
    <t xml:space="preserve">41503073083</t>
  </si>
  <si>
    <t xml:space="preserve">MP7120</t>
  </si>
  <si>
    <t xml:space="preserve">KP3348</t>
  </si>
  <si>
    <t xml:space="preserve">LT3373</t>
  </si>
  <si>
    <t xml:space="preserve"> 2x  3x  4x kravas MERCEDES BENZ ACTROS</t>
  </si>
  <si>
    <t xml:space="preserve">MH643</t>
  </si>
  <si>
    <t xml:space="preserve">R 560</t>
  </si>
  <si>
    <t xml:space="preserve">kravas SCANIA R 560</t>
  </si>
  <si>
    <t xml:space="preserve">41503042168</t>
  </si>
  <si>
    <t xml:space="preserve">HZ1360</t>
  </si>
  <si>
    <t xml:space="preserve">ILŪKSTES NOVADS, PILSKALNES PAGASTS ZIEDIŅI</t>
  </si>
  <si>
    <t xml:space="preserve">KU8094</t>
  </si>
  <si>
    <t xml:space="preserve">41202014543</t>
  </si>
  <si>
    <t xml:space="preserve">KU6693</t>
  </si>
  <si>
    <t xml:space="preserve">KD1112</t>
  </si>
  <si>
    <t xml:space="preserve">MO9614</t>
  </si>
  <si>
    <t xml:space="preserve">41503083310</t>
  </si>
  <si>
    <t xml:space="preserve">MA8729</t>
  </si>
  <si>
    <t xml:space="preserve">KS3749</t>
  </si>
  <si>
    <t xml:space="preserve">AS440 S43</t>
  </si>
  <si>
    <t xml:space="preserve">kravas IVECO AS440 S43</t>
  </si>
  <si>
    <t xml:space="preserve">41503073859</t>
  </si>
  <si>
    <t xml:space="preserve">KH2794</t>
  </si>
  <si>
    <t xml:space="preserve">KN3768</t>
  </si>
  <si>
    <t xml:space="preserve">AS440 S42</t>
  </si>
  <si>
    <t xml:space="preserve">kravas IVECO AS440 S42</t>
  </si>
  <si>
    <t xml:space="preserve">JH8800</t>
  </si>
  <si>
    <t xml:space="preserve">RENAULT</t>
  </si>
  <si>
    <t xml:space="preserve">MAGNUM</t>
  </si>
  <si>
    <t xml:space="preserve">41503088854</t>
  </si>
  <si>
    <t xml:space="preserve">KR8236</t>
  </si>
  <si>
    <t xml:space="preserve">MZ9569</t>
  </si>
  <si>
    <t xml:space="preserve">MS7550</t>
  </si>
  <si>
    <t xml:space="preserve">JL140</t>
  </si>
  <si>
    <t xml:space="preserve">HM3272</t>
  </si>
  <si>
    <t xml:space="preserve"> 2x  3x  4x  5x  6x kravas RENAULT MAGNUM</t>
  </si>
  <si>
    <t xml:space="preserve">JF4521</t>
  </si>
  <si>
    <t xml:space="preserve">41503013879</t>
  </si>
  <si>
    <t xml:space="preserve">JG1658</t>
  </si>
  <si>
    <t xml:space="preserve">JG1039</t>
  </si>
  <si>
    <t xml:space="preserve">JZ7253</t>
  </si>
  <si>
    <t xml:space="preserve">HP953</t>
  </si>
  <si>
    <t xml:space="preserve">HP952</t>
  </si>
  <si>
    <t xml:space="preserve">HP951</t>
  </si>
  <si>
    <t xml:space="preserve"> 2x  3x kravas DAF FT XF,  2x  3x  4x kravas DAF XF 105</t>
  </si>
  <si>
    <t xml:space="preserve">NB6202</t>
  </si>
  <si>
    <t xml:space="preserve">AXOR 1836</t>
  </si>
  <si>
    <t xml:space="preserve">kravas MERCEDES BENZ AXOR 1836</t>
  </si>
  <si>
    <t xml:space="preserve">40203244800</t>
  </si>
  <si>
    <t xml:space="preserve">MT6992</t>
  </si>
  <si>
    <t xml:space="preserve">AXOR 1840</t>
  </si>
  <si>
    <t xml:space="preserve">kravas MERCEDES BENZ AXOR 1840</t>
  </si>
  <si>
    <t xml:space="preserve">ILŪKSTES NOVADS, EGLAINES PAGASTS, EGLAINE, GAGARINA IELA 8-7</t>
  </si>
  <si>
    <t xml:space="preserve">FV2682</t>
  </si>
  <si>
    <t xml:space="preserve">18.430</t>
  </si>
  <si>
    <t xml:space="preserve">41503037218</t>
  </si>
  <si>
    <t xml:space="preserve">SIA  AVOTS SP </t>
  </si>
  <si>
    <t xml:space="preserve">41503018147</t>
  </si>
  <si>
    <t xml:space="preserve">DAUGAVPILS, CĒSU IELA 16A-6</t>
  </si>
  <si>
    <t xml:space="preserve"> 2x  3x  4x kravas VOLVO FH12</t>
  </si>
  <si>
    <t xml:space="preserve">HJ9129</t>
  </si>
  <si>
    <t xml:space="preserve">41503015704</t>
  </si>
  <si>
    <t xml:space="preserve">GT8593</t>
  </si>
  <si>
    <t xml:space="preserve">GK7414</t>
  </si>
  <si>
    <t xml:space="preserve">HG4862</t>
  </si>
  <si>
    <t xml:space="preserve">EZ8791</t>
  </si>
  <si>
    <t xml:space="preserve">KF9188</t>
  </si>
  <si>
    <t xml:space="preserve"> 2x  3x  4x kravas DAF XF 105, kravas VOLVO FH12, kravas SCANIA R 420</t>
  </si>
  <si>
    <t xml:space="preserve">MI1547</t>
  </si>
  <si>
    <t xml:space="preserve">TGX 26.540</t>
  </si>
  <si>
    <t xml:space="preserve">41503070867</t>
  </si>
  <si>
    <t xml:space="preserve">HT9576</t>
  </si>
  <si>
    <t xml:space="preserve">40003625393</t>
  </si>
  <si>
    <t xml:space="preserve">HF2918</t>
  </si>
  <si>
    <t xml:space="preserve">DAUGAVPILS, TEĀTRA IELA 15/17 -23</t>
  </si>
  <si>
    <t xml:space="preserve">MF3600</t>
  </si>
  <si>
    <t xml:space="preserve">SIA  BELMAST </t>
  </si>
  <si>
    <t xml:space="preserve">40003490550</t>
  </si>
  <si>
    <t xml:space="preserve">DAUGAVPILS, VIŠĶU IELA 21Z</t>
  </si>
  <si>
    <t xml:space="preserve">JG1562</t>
  </si>
  <si>
    <t xml:space="preserve">JF7720</t>
  </si>
  <si>
    <t xml:space="preserve">JB9146</t>
  </si>
  <si>
    <t xml:space="preserve">kravas SCANIA R 410,  2x kravas SCANIA R 440, kravas DAF XF 105</t>
  </si>
  <si>
    <t xml:space="preserve">BR88</t>
  </si>
  <si>
    <t xml:space="preserve">FTS XF</t>
  </si>
  <si>
    <t xml:space="preserve">kravas DAF FTS XF</t>
  </si>
  <si>
    <t xml:space="preserve">41503058883</t>
  </si>
  <si>
    <t xml:space="preserve">MV1305</t>
  </si>
  <si>
    <t xml:space="preserve">KI6294</t>
  </si>
  <si>
    <t xml:space="preserve">DAUGAVPILS, VAĻŅU IELA 4C</t>
  </si>
  <si>
    <t xml:space="preserve">JF5835</t>
  </si>
  <si>
    <t xml:space="preserve">41503066912</t>
  </si>
  <si>
    <t xml:space="preserve">JN8744</t>
  </si>
  <si>
    <t xml:space="preserve">41503062889</t>
  </si>
  <si>
    <t xml:space="preserve">NB4767</t>
  </si>
  <si>
    <t xml:space="preserve">41502012170</t>
  </si>
  <si>
    <t xml:space="preserve">KG8091</t>
  </si>
  <si>
    <t xml:space="preserve">40003250965</t>
  </si>
  <si>
    <t xml:space="preserve">55.90096982990476, 26.617818849291435</t>
  </si>
  <si>
    <t xml:space="preserve">KG8087</t>
  </si>
  <si>
    <t xml:space="preserve">KS3803</t>
  </si>
  <si>
    <t xml:space="preserve">KS3804</t>
  </si>
  <si>
    <t xml:space="preserve">JC3488</t>
  </si>
  <si>
    <t xml:space="preserve">JC3335</t>
  </si>
  <si>
    <t xml:space="preserve">JC3332</t>
  </si>
  <si>
    <t xml:space="preserve">JC4312</t>
  </si>
  <si>
    <t xml:space="preserve">JC4310</t>
  </si>
  <si>
    <t xml:space="preserve">KM8394</t>
  </si>
  <si>
    <t xml:space="preserve">KM8393</t>
  </si>
  <si>
    <t xml:space="preserve"> 2x  3x  4x  5x  6x  7x  8x  9x  10x  11x kravas VOLVO FH</t>
  </si>
  <si>
    <t xml:space="preserve">KB785</t>
  </si>
  <si>
    <t xml:space="preserve">R 450</t>
  </si>
  <si>
    <t xml:space="preserve">41503047589</t>
  </si>
  <si>
    <t xml:space="preserve">NB1500</t>
  </si>
  <si>
    <t xml:space="preserve">41503076770</t>
  </si>
  <si>
    <t xml:space="preserve">HV1660</t>
  </si>
  <si>
    <t xml:space="preserve">NA1500</t>
  </si>
  <si>
    <t xml:space="preserve">PRT</t>
  </si>
  <si>
    <t xml:space="preserve">kravas SCANIA PRT</t>
  </si>
  <si>
    <t xml:space="preserve">NC1500</t>
  </si>
  <si>
    <t xml:space="preserve">LT1500</t>
  </si>
  <si>
    <t xml:space="preserve">MH1500</t>
  </si>
  <si>
    <t xml:space="preserve">KK7357</t>
  </si>
  <si>
    <t xml:space="preserve">41503068400</t>
  </si>
  <si>
    <t xml:space="preserve">MR3498</t>
  </si>
  <si>
    <t xml:space="preserve">41503028323</t>
  </si>
  <si>
    <t xml:space="preserve">MZ1301</t>
  </si>
  <si>
    <t xml:space="preserve">KJ3114</t>
  </si>
  <si>
    <t xml:space="preserve">114C</t>
  </si>
  <si>
    <t xml:space="preserve">kravas SCANIA 114C</t>
  </si>
  <si>
    <t xml:space="preserve">LB4864</t>
  </si>
  <si>
    <t xml:space="preserve">KT8931</t>
  </si>
  <si>
    <t xml:space="preserve">T420</t>
  </si>
  <si>
    <t xml:space="preserve">kravas SCANIA T420</t>
  </si>
  <si>
    <t xml:space="preserve">ME2409</t>
  </si>
  <si>
    <t xml:space="preserve">AUGŠDAUGAVAS NOVADS, VECSALIENAS PAGASTS, ČERVONKA ČERVONKA-1</t>
  </si>
  <si>
    <t xml:space="preserve">ME7010</t>
  </si>
  <si>
    <t xml:space="preserve">KD1739</t>
  </si>
  <si>
    <t xml:space="preserve">FTXF 105.410T</t>
  </si>
  <si>
    <t xml:space="preserve">41503057854</t>
  </si>
  <si>
    <t xml:space="preserve">41503060267</t>
  </si>
  <si>
    <t xml:space="preserve">NB4759</t>
  </si>
  <si>
    <t xml:space="preserve">TGX 18.400</t>
  </si>
  <si>
    <t xml:space="preserve">kravas MAN TGX 18.400</t>
  </si>
  <si>
    <t xml:space="preserve">MM800</t>
  </si>
  <si>
    <t xml:space="preserve">41503041552</t>
  </si>
  <si>
    <t xml:space="preserve">ILŪKSTES NOVADS, SUBATE, TIRGUS LAUKUMS 15</t>
  </si>
  <si>
    <t xml:space="preserve">AA800</t>
  </si>
  <si>
    <t xml:space="preserve">JK3400</t>
  </si>
  <si>
    <t xml:space="preserve">41503023078</t>
  </si>
  <si>
    <t xml:space="preserve">GP861</t>
  </si>
  <si>
    <t xml:space="preserve">41503043784</t>
  </si>
  <si>
    <t xml:space="preserve">LJ3180</t>
  </si>
  <si>
    <t xml:space="preserve">GJ9113</t>
  </si>
  <si>
    <t xml:space="preserve">KD7552</t>
  </si>
  <si>
    <t xml:space="preserve">HS1679</t>
  </si>
  <si>
    <t xml:space="preserve">HO3191</t>
  </si>
  <si>
    <t xml:space="preserve"> 2x  3x kravas DAF XF 105, kravas DAF FT XF 105,  2x kravas DAF XF 105</t>
  </si>
  <si>
    <t xml:space="preserve">NA9428</t>
  </si>
  <si>
    <t xml:space="preserve">41503055529</t>
  </si>
  <si>
    <t xml:space="preserve">LK3885</t>
  </si>
  <si>
    <t xml:space="preserve">41503033540</t>
  </si>
  <si>
    <t xml:space="preserve">MA2488</t>
  </si>
  <si>
    <t xml:space="preserve">DAUGAVPILS, CĒSU IELA 16 -20</t>
  </si>
  <si>
    <t xml:space="preserve">MA2349</t>
  </si>
  <si>
    <t xml:space="preserve">GG9830</t>
  </si>
  <si>
    <t xml:space="preserve">JA7953</t>
  </si>
  <si>
    <t xml:space="preserve">MP7273</t>
  </si>
  <si>
    <t xml:space="preserve">41503072406</t>
  </si>
  <si>
    <t xml:space="preserve">HA7495</t>
  </si>
  <si>
    <t xml:space="preserve">51503023031</t>
  </si>
  <si>
    <t xml:space="preserve">GB2934</t>
  </si>
  <si>
    <t xml:space="preserve">R 380</t>
  </si>
  <si>
    <t xml:space="preserve">kravas SCANIA R 380</t>
  </si>
  <si>
    <t xml:space="preserve">HP4596</t>
  </si>
  <si>
    <t xml:space="preserve">MV1517</t>
  </si>
  <si>
    <t xml:space="preserve">FM</t>
  </si>
  <si>
    <t xml:space="preserve">kravas VOLVO FM</t>
  </si>
  <si>
    <t xml:space="preserve">MZ9528</t>
  </si>
  <si>
    <t xml:space="preserve">NC7925</t>
  </si>
  <si>
    <t xml:space="preserve">kravas VOLVO FH, kravas SCANIA R 380, kravas VOLVO FH,  2x  3x kravas VOLVO FM</t>
  </si>
  <si>
    <t xml:space="preserve">MS1885</t>
  </si>
  <si>
    <t xml:space="preserve">AS440 S45</t>
  </si>
  <si>
    <t xml:space="preserve">kravas IVECO AS440 S45</t>
  </si>
  <si>
    <t xml:space="preserve">41503084725</t>
  </si>
  <si>
    <t xml:space="preserve">KK8046</t>
  </si>
  <si>
    <t xml:space="preserve">MC4018</t>
  </si>
  <si>
    <t xml:space="preserve">MAGIRUS</t>
  </si>
  <si>
    <t xml:space="preserve">kravas IVECO MAGIRUS</t>
  </si>
  <si>
    <t xml:space="preserve">JU216</t>
  </si>
  <si>
    <t xml:space="preserve">41503006044</t>
  </si>
  <si>
    <t xml:space="preserve">JD2603</t>
  </si>
  <si>
    <t xml:space="preserve">KR8882</t>
  </si>
  <si>
    <t xml:space="preserve">JL8882</t>
  </si>
  <si>
    <t xml:space="preserve">MB8882</t>
  </si>
  <si>
    <t xml:space="preserve">HT8972</t>
  </si>
  <si>
    <t xml:space="preserve">HV8570</t>
  </si>
  <si>
    <t xml:space="preserve">HO2791</t>
  </si>
  <si>
    <t xml:space="preserve">HO2788</t>
  </si>
  <si>
    <t xml:space="preserve">HO2789</t>
  </si>
  <si>
    <t xml:space="preserve">HR8985</t>
  </si>
  <si>
    <t xml:space="preserve">HP2293</t>
  </si>
  <si>
    <t xml:space="preserve">HO2787</t>
  </si>
  <si>
    <t xml:space="preserve">HP2289</t>
  </si>
  <si>
    <t xml:space="preserve">HP2291</t>
  </si>
  <si>
    <t xml:space="preserve">HP2422</t>
  </si>
  <si>
    <t xml:space="preserve">HP2425</t>
  </si>
  <si>
    <t xml:space="preserve">HV8598</t>
  </si>
  <si>
    <t xml:space="preserve">HR8987</t>
  </si>
  <si>
    <t xml:space="preserve"> 2x  3x  4x  5x kravas MERCEDES BENZ ACTROS,  2x  3x  4x  5x  6x  7x  8x  9x  10x  11x  12x  13x  14x kravas MERCEDES BENZ ACTROS 1844</t>
  </si>
  <si>
    <t xml:space="preserve">MT2300</t>
  </si>
  <si>
    <t xml:space="preserve">40203368373</t>
  </si>
  <si>
    <t xml:space="preserve">MI9160</t>
  </si>
  <si>
    <t xml:space="preserve">124</t>
  </si>
  <si>
    <t xml:space="preserve">kravas SCANIA 124</t>
  </si>
  <si>
    <t xml:space="preserve">41503004240</t>
  </si>
  <si>
    <t xml:space="preserve">KC7293</t>
  </si>
  <si>
    <t xml:space="preserve">AT440 S40</t>
  </si>
  <si>
    <t xml:space="preserve">kravas IVECO AT440 S40</t>
  </si>
  <si>
    <t xml:space="preserve">MB5079</t>
  </si>
  <si>
    <t xml:space="preserve">LG2542</t>
  </si>
  <si>
    <t xml:space="preserve">KR3801</t>
  </si>
  <si>
    <t xml:space="preserve">124L</t>
  </si>
  <si>
    <t xml:space="preserve">kravas SCANIA 124L</t>
  </si>
  <si>
    <t xml:space="preserve">KE8277</t>
  </si>
  <si>
    <t xml:space="preserve">FE</t>
  </si>
  <si>
    <t xml:space="preserve">kravas VOLVO FE</t>
  </si>
  <si>
    <t xml:space="preserve">JU7030</t>
  </si>
  <si>
    <t xml:space="preserve">41503039420</t>
  </si>
  <si>
    <t xml:space="preserve">KC962</t>
  </si>
  <si>
    <t xml:space="preserve">DAUGAVPILS, STRĀDNIEKU IELA 82-19</t>
  </si>
  <si>
    <t xml:space="preserve">KC1181</t>
  </si>
  <si>
    <t xml:space="preserve">KC976</t>
  </si>
  <si>
    <t xml:space="preserve"> 2x  3x  4x kravas MAN TGX</t>
  </si>
  <si>
    <t xml:space="preserve">JL8545</t>
  </si>
  <si>
    <t xml:space="preserve">40003400519</t>
  </si>
  <si>
    <t xml:space="preserve">55.86389700620138, 26.527472133948198</t>
  </si>
  <si>
    <t xml:space="preserve">JL8544</t>
  </si>
  <si>
    <t xml:space="preserve">JL8541</t>
  </si>
  <si>
    <t xml:space="preserve">JL8532</t>
  </si>
  <si>
    <t xml:space="preserve">JL8536</t>
  </si>
  <si>
    <t xml:space="preserve">MO9563</t>
  </si>
  <si>
    <t xml:space="preserve">MO9564</t>
  </si>
  <si>
    <t xml:space="preserve">MP7067</t>
  </si>
  <si>
    <t xml:space="preserve">MP7068</t>
  </si>
  <si>
    <t xml:space="preserve">MP7069</t>
  </si>
  <si>
    <t xml:space="preserve">MP7302</t>
  </si>
  <si>
    <t xml:space="preserve">MD9061</t>
  </si>
  <si>
    <t xml:space="preserve"> 2x  3x  4x  5x kravas MERCEDES BENZ ACTROS,  2x  3x  4x  5x  6x  7x kravas SCANIA R 410</t>
  </si>
  <si>
    <t xml:space="preserve">GR1367</t>
  </si>
  <si>
    <t xml:space="preserve">50003041981</t>
  </si>
  <si>
    <t xml:space="preserve">HF4607</t>
  </si>
  <si>
    <t xml:space="preserve">JB7904</t>
  </si>
  <si>
    <t xml:space="preserve">DAUGAVPILS, VIENĪBAS IELA 26 -29</t>
  </si>
  <si>
    <t xml:space="preserve">HK1390</t>
  </si>
  <si>
    <t xml:space="preserve">HS2678</t>
  </si>
  <si>
    <t xml:space="preserve">HM7358</t>
  </si>
  <si>
    <t xml:space="preserve">MI8916</t>
  </si>
  <si>
    <t xml:space="preserve"> 2x  3x  4x  5x  6x kravas DAF XF 105, kravas DAF XF 460 FT</t>
  </si>
  <si>
    <t xml:space="preserve">DZ3409</t>
  </si>
  <si>
    <t xml:space="preserve">SIA  LATROSTRANS </t>
  </si>
  <si>
    <t xml:space="preserve">40003190740</t>
  </si>
  <si>
    <t xml:space="preserve">ILŪKSTES NOVADS, ŠĒDERES PAGASTS, ŠĒDERE LRDS ILŪKSTE</t>
  </si>
  <si>
    <t xml:space="preserve">Krāvnesība max 32t ne vairāk, uzņemums izmnato tikai savam vajadzībam</t>
  </si>
  <si>
    <t xml:space="preserve">MH9580</t>
  </si>
  <si>
    <t xml:space="preserve">TGS</t>
  </si>
  <si>
    <t xml:space="preserve">kravas MAN TGS</t>
  </si>
  <si>
    <t xml:space="preserve">ILŪKSTES NOVADS, ŠĒDERES PAGASTS LRDS ILŪKSTE</t>
  </si>
  <si>
    <t xml:space="preserve">JU9548</t>
  </si>
  <si>
    <t xml:space="preserve">FM12 66</t>
  </si>
  <si>
    <t xml:space="preserve">kravas VOLVO FM12 66</t>
  </si>
  <si>
    <t xml:space="preserve">CU318</t>
  </si>
  <si>
    <t xml:space="preserve">UNIMOG</t>
  </si>
  <si>
    <t xml:space="preserve">U 2450</t>
  </si>
  <si>
    <t xml:space="preserve">kravas UNIMOG U 2450</t>
  </si>
  <si>
    <t xml:space="preserve">kravas VOLVO FM12, kravas MAN TGS, kravas VOLVO FM12 66, kravas UNIMOG U 2450</t>
  </si>
  <si>
    <t xml:space="preserve">KP3282</t>
  </si>
  <si>
    <t xml:space="preserve">41503014060</t>
  </si>
  <si>
    <t xml:space="preserve">NA2453</t>
  </si>
  <si>
    <t xml:space="preserve">DAUGAVPILS, DOBELES IELA 1-4</t>
  </si>
  <si>
    <t xml:space="preserve">LG2570</t>
  </si>
  <si>
    <t xml:space="preserve">DAUGAVPILS, DOBELES IELA 1 - 4</t>
  </si>
  <si>
    <t xml:space="preserve">JD9593</t>
  </si>
  <si>
    <t xml:space="preserve">41503062573</t>
  </si>
  <si>
    <t xml:space="preserve">VR7858</t>
  </si>
  <si>
    <t xml:space="preserve">DAUGAVPILS, STADIONA IELA 12A -11</t>
  </si>
  <si>
    <t xml:space="preserve">JZ5972</t>
  </si>
  <si>
    <t xml:space="preserve">ME7057</t>
  </si>
  <si>
    <t xml:space="preserve">LT1438</t>
  </si>
  <si>
    <t xml:space="preserve">JK6221</t>
  </si>
  <si>
    <t xml:space="preserve">TGX 18.440</t>
  </si>
  <si>
    <t xml:space="preserve">MT2294</t>
  </si>
  <si>
    <t xml:space="preserve">41501013925</t>
  </si>
  <si>
    <t xml:space="preserve">JJ7286</t>
  </si>
  <si>
    <t xml:space="preserve">41503020300</t>
  </si>
  <si>
    <t xml:space="preserve">MR2200</t>
  </si>
  <si>
    <t xml:space="preserve">XF 480 FT</t>
  </si>
  <si>
    <t xml:space="preserve">kravas DAF XF 480 FT</t>
  </si>
  <si>
    <t xml:space="preserve">MH4312</t>
  </si>
  <si>
    <t xml:space="preserve">KC1718</t>
  </si>
  <si>
    <t xml:space="preserve">KC7892</t>
  </si>
  <si>
    <t xml:space="preserve">KU6506</t>
  </si>
  <si>
    <t xml:space="preserve">MO4600</t>
  </si>
  <si>
    <t xml:space="preserve">XF 530 FT</t>
  </si>
  <si>
    <t xml:space="preserve">kravas DAF XF 530 FT</t>
  </si>
  <si>
    <t xml:space="preserve">KE8014</t>
  </si>
  <si>
    <t xml:space="preserve">LC4070</t>
  </si>
  <si>
    <t xml:space="preserve">NA2300</t>
  </si>
  <si>
    <t xml:space="preserve">NA2400</t>
  </si>
  <si>
    <t xml:space="preserve">KE7935</t>
  </si>
  <si>
    <t xml:space="preserve">LJ6309</t>
  </si>
  <si>
    <t xml:space="preserve">kravas DAF FT XF,  2x kravas DAF XF 480 FT,  2x  3x kravas DAF XF 460 FT, kravas DAF XF 530 FT,  2x  3x  4x  5x kravas MERCEDES BENZ ACTROS, kravas SCANIA R 450</t>
  </si>
  <si>
    <t xml:space="preserve">HP7744</t>
  </si>
  <si>
    <t xml:space="preserve">50003304691</t>
  </si>
  <si>
    <t xml:space="preserve">GE8833</t>
  </si>
  <si>
    <t xml:space="preserve">JJ8700</t>
  </si>
  <si>
    <t xml:space="preserve"> 2x  3x kravas VOLVO FH</t>
  </si>
  <si>
    <t xml:space="preserve">KV4967</t>
  </si>
  <si>
    <t xml:space="preserve">S 450</t>
  </si>
  <si>
    <t xml:space="preserve">41503082175</t>
  </si>
  <si>
    <t xml:space="preserve">KO6151</t>
  </si>
  <si>
    <t xml:space="preserve">TGA 18.480</t>
  </si>
  <si>
    <t xml:space="preserve">41503071788</t>
  </si>
  <si>
    <t xml:space="preserve">JU4595</t>
  </si>
  <si>
    <t xml:space="preserve">41503012110</t>
  </si>
  <si>
    <t xml:space="preserve">HN7984</t>
  </si>
  <si>
    <t xml:space="preserve">50003365291</t>
  </si>
  <si>
    <t xml:space="preserve">HS603</t>
  </si>
  <si>
    <t xml:space="preserve">HS3350</t>
  </si>
  <si>
    <t xml:space="preserve">MS1761</t>
  </si>
  <si>
    <t xml:space="preserve">MG3781</t>
  </si>
  <si>
    <t xml:space="preserve">LO2842</t>
  </si>
  <si>
    <t xml:space="preserve">JA8120</t>
  </si>
  <si>
    <t xml:space="preserve">kravas SCANIA G 420,  2x  3x kravas SCANIA R 420,  2x kravas MERCEDES BENZ ACTROS, kravas MERCEDES BENZ ACTROS 1844</t>
  </si>
  <si>
    <t xml:space="preserve">MU4484</t>
  </si>
  <si>
    <t xml:space="preserve">AS440T/P</t>
  </si>
  <si>
    <t xml:space="preserve">kravas IVECO AS440T/P</t>
  </si>
  <si>
    <t xml:space="preserve">41503026182</t>
  </si>
  <si>
    <t xml:space="preserve">MG3589</t>
  </si>
  <si>
    <t xml:space="preserve">ML9697</t>
  </si>
  <si>
    <t xml:space="preserve">ND961</t>
  </si>
  <si>
    <t xml:space="preserve">41503086209</t>
  </si>
  <si>
    <t xml:space="preserve">VR5796</t>
  </si>
  <si>
    <t xml:space="preserve">ML5641</t>
  </si>
  <si>
    <t xml:space="preserve">KI8575</t>
  </si>
  <si>
    <t xml:space="preserve">41503085928</t>
  </si>
  <si>
    <t xml:space="preserve">JM9389</t>
  </si>
  <si>
    <t xml:space="preserve">ND1500</t>
  </si>
  <si>
    <t xml:space="preserve">T</t>
  </si>
  <si>
    <t xml:space="preserve">kravas RENAULT T</t>
  </si>
  <si>
    <t xml:space="preserve">41503075084</t>
  </si>
  <si>
    <t xml:space="preserve">18. novembra iela 197D , Daugavpils, LV-5417</t>
  </si>
  <si>
    <t xml:space="preserve">LG9952</t>
  </si>
  <si>
    <t xml:space="preserve">MI8958</t>
  </si>
  <si>
    <t xml:space="preserve">KI6571</t>
  </si>
  <si>
    <t xml:space="preserve">EP3700</t>
  </si>
  <si>
    <t xml:space="preserve">MO7173</t>
  </si>
  <si>
    <t xml:space="preserve">41503067176</t>
  </si>
  <si>
    <t xml:space="preserve">KH2959</t>
  </si>
  <si>
    <t xml:space="preserve">JA7115</t>
  </si>
  <si>
    <t xml:space="preserve">41503000022</t>
  </si>
  <si>
    <t xml:space="preserve">KO262</t>
  </si>
  <si>
    <t xml:space="preserve">KT8851</t>
  </si>
  <si>
    <t xml:space="preserve">GL7523</t>
  </si>
  <si>
    <t xml:space="preserve">19.403</t>
  </si>
  <si>
    <t xml:space="preserve">kravas MAN 19.403</t>
  </si>
  <si>
    <t xml:space="preserve">51503038681</t>
  </si>
  <si>
    <t xml:space="preserve">HS6426</t>
  </si>
  <si>
    <t xml:space="preserve">ED8800</t>
  </si>
  <si>
    <t xml:space="preserve">MB5009</t>
  </si>
  <si>
    <t xml:space="preserve">KC8456</t>
  </si>
  <si>
    <t xml:space="preserve">41503068260</t>
  </si>
  <si>
    <t xml:space="preserve">MK6333</t>
  </si>
  <si>
    <t xml:space="preserve">CO58</t>
  </si>
  <si>
    <t xml:space="preserve">XF 440 FT</t>
  </si>
  <si>
    <t xml:space="preserve">kravas DAF XF 440 FT</t>
  </si>
  <si>
    <t xml:space="preserve">KH2389</t>
  </si>
  <si>
    <t xml:space="preserve">FTT XF 105</t>
  </si>
  <si>
    <t xml:space="preserve">kravas DAF FTT XF 105</t>
  </si>
  <si>
    <t xml:space="preserve">KD3888</t>
  </si>
  <si>
    <t xml:space="preserve">MZ9813</t>
  </si>
  <si>
    <t xml:space="preserve">JL336</t>
  </si>
  <si>
    <t xml:space="preserve">JG499</t>
  </si>
  <si>
    <t xml:space="preserve">VR8358</t>
  </si>
  <si>
    <t xml:space="preserve">ND2723</t>
  </si>
  <si>
    <t xml:space="preserve">ND6724</t>
  </si>
  <si>
    <t xml:space="preserve">ND3246</t>
  </si>
  <si>
    <t xml:space="preserve">GG7737</t>
  </si>
  <si>
    <t xml:space="preserve">MS7569</t>
  </si>
  <si>
    <t xml:space="preserve">XF 510 FT</t>
  </si>
  <si>
    <t xml:space="preserve">kravas DAF XF 510 FT</t>
  </si>
  <si>
    <t xml:space="preserve">HP7562</t>
  </si>
  <si>
    <t xml:space="preserve">MK6423</t>
  </si>
  <si>
    <t xml:space="preserve">41503066039</t>
  </si>
  <si>
    <t xml:space="preserve">MZ9757</t>
  </si>
  <si>
    <t xml:space="preserve">DAUGAVPILS, KAUŅAS IELA 9-33</t>
  </si>
  <si>
    <t xml:space="preserve">MK6403</t>
  </si>
  <si>
    <t xml:space="preserve">NB6385</t>
  </si>
  <si>
    <t xml:space="preserve">HM2582</t>
  </si>
  <si>
    <t xml:space="preserve">143H</t>
  </si>
  <si>
    <t xml:space="preserve">41503000893</t>
  </si>
  <si>
    <t xml:space="preserve">JL907</t>
  </si>
  <si>
    <t xml:space="preserve">40103096804</t>
  </si>
  <si>
    <t xml:space="preserve">JL906</t>
  </si>
  <si>
    <t xml:space="preserve">DAUGAVPILS, MIERA IELA 5/3-13</t>
  </si>
  <si>
    <t xml:space="preserve">HS6787</t>
  </si>
  <si>
    <t xml:space="preserve">LO3021</t>
  </si>
  <si>
    <t xml:space="preserve">LT1333</t>
  </si>
  <si>
    <t xml:space="preserve">42103106212</t>
  </si>
  <si>
    <t xml:space="preserve">MM8799</t>
  </si>
  <si>
    <t xml:space="preserve">SIA  RUBITRON BALTICS </t>
  </si>
  <si>
    <t xml:space="preserve">40203204526</t>
  </si>
  <si>
    <t xml:space="preserve">AUGŠDAUGAVAS NOVADS, MAĻINOVAS PAGASTS, ZAĻUMI NAFTAS BĀZE ZAĻUMI</t>
  </si>
  <si>
    <t xml:space="preserve">HN7989</t>
  </si>
  <si>
    <t xml:space="preserve">40003154665</t>
  </si>
  <si>
    <t xml:space="preserve">MS1807</t>
  </si>
  <si>
    <t xml:space="preserve">JE1074</t>
  </si>
  <si>
    <t xml:space="preserve">JB8468</t>
  </si>
  <si>
    <t xml:space="preserve">ND6203</t>
  </si>
  <si>
    <t xml:space="preserve">40103003876</t>
  </si>
  <si>
    <t xml:space="preserve">NC6475</t>
  </si>
  <si>
    <t xml:space="preserve">LI2787</t>
  </si>
  <si>
    <t xml:space="preserve">40C15</t>
  </si>
  <si>
    <t xml:space="preserve">kravas IVECO 40C15</t>
  </si>
  <si>
    <t xml:space="preserve">MT6587</t>
  </si>
  <si>
    <t xml:space="preserve">PREMIUM 460</t>
  </si>
  <si>
    <t xml:space="preserve">41503032827</t>
  </si>
  <si>
    <t xml:space="preserve">NB5199</t>
  </si>
  <si>
    <t xml:space="preserve">40203360609</t>
  </si>
  <si>
    <t xml:space="preserve">NE1393</t>
  </si>
  <si>
    <t xml:space="preserve">NC3711</t>
  </si>
  <si>
    <t xml:space="preserve">JJ7716</t>
  </si>
  <si>
    <t xml:space="preserve">41503013027</t>
  </si>
  <si>
    <t xml:space="preserve">AUGŠDAUGAVAS NOVADS, KALKŪNES PAGASTS, KALKŪNI, KALKŪNES IELA 19 E</t>
  </si>
  <si>
    <t xml:space="preserve">55.84428434277125, 26.487812855763867</t>
  </si>
  <si>
    <t xml:space="preserve">JJ7715</t>
  </si>
  <si>
    <t xml:space="preserve">JJ171</t>
  </si>
  <si>
    <t xml:space="preserve">HF2753</t>
  </si>
  <si>
    <t xml:space="preserve">HP5723</t>
  </si>
  <si>
    <t xml:space="preserve">JN9200</t>
  </si>
  <si>
    <t xml:space="preserve">JS7513</t>
  </si>
  <si>
    <t xml:space="preserve">JT159</t>
  </si>
  <si>
    <t xml:space="preserve">DAUGAVPILS NOVADS, KALKŪNES PAGASTS, KALKŪNI, KALKŪNES IELA 19E</t>
  </si>
  <si>
    <t xml:space="preserve">JD6952</t>
  </si>
  <si>
    <t xml:space="preserve">HV9757</t>
  </si>
  <si>
    <t xml:space="preserve">HP8034</t>
  </si>
  <si>
    <t xml:space="preserve">HZ4264</t>
  </si>
  <si>
    <t xml:space="preserve">KJ9688</t>
  </si>
  <si>
    <t xml:space="preserve">JB4152</t>
  </si>
  <si>
    <t xml:space="preserve">HT2257</t>
  </si>
  <si>
    <t xml:space="preserve">JB7596</t>
  </si>
  <si>
    <t xml:space="preserve">JC689</t>
  </si>
  <si>
    <t xml:space="preserve">KA9294</t>
  </si>
  <si>
    <t xml:space="preserve">HO5647</t>
  </si>
  <si>
    <t xml:space="preserve">VR8746</t>
  </si>
  <si>
    <t xml:space="preserve">JE2122</t>
  </si>
  <si>
    <t xml:space="preserve">HV2864</t>
  </si>
  <si>
    <t xml:space="preserve">KM988</t>
  </si>
  <si>
    <t xml:space="preserve">KE2122</t>
  </si>
  <si>
    <t xml:space="preserve"> 2x  3x kravas DAF FT XF,  2x kravas DAF XF 105, kravas DAF FT XF,  2x kravas DAF XF 460 FT, kravas DAF FT XF 105,  2x  3x  4x  5x  6x  7x  8x  9x  10x  11x  12x  13x kravas DAF XF 105,  2x kravas DAF XF 460 FT</t>
  </si>
  <si>
    <t xml:space="preserve">LB8649</t>
  </si>
  <si>
    <t xml:space="preserve">41503075807</t>
  </si>
  <si>
    <t xml:space="preserve">DD9706</t>
  </si>
  <si>
    <t xml:space="preserve">JT4953</t>
  </si>
  <si>
    <t xml:space="preserve">41503019890</t>
  </si>
  <si>
    <t xml:space="preserve">JT4958</t>
  </si>
  <si>
    <t xml:space="preserve">JT4959</t>
  </si>
  <si>
    <t xml:space="preserve">JT4961</t>
  </si>
  <si>
    <t xml:space="preserve">HR4787</t>
  </si>
  <si>
    <t xml:space="preserve">LM9392</t>
  </si>
  <si>
    <t xml:space="preserve">AUGŠDAUGAVAS NOVADS, KALKŪNES PAGASTS, KALKŪNI, ĶIEĢEĻU IELA 7</t>
  </si>
  <si>
    <t xml:space="preserve">KP3234</t>
  </si>
  <si>
    <t xml:space="preserve">KL2260</t>
  </si>
  <si>
    <t xml:space="preserve">KK9736</t>
  </si>
  <si>
    <t xml:space="preserve"> 2x  3x  4x kravas SCANIA R 410, kravas SCANIA R 420, kravas VOLVO FH,  2x  3x kravas MERCEDES BENZ ACTROS</t>
  </si>
  <si>
    <t xml:space="preserve">MF852</t>
  </si>
  <si>
    <t xml:space="preserve">41503068839</t>
  </si>
  <si>
    <t xml:space="preserve">LT8278</t>
  </si>
  <si>
    <t xml:space="preserve">DAUGAVPILS NOVADS, KALKŪNES PAGASTS, MUITAS, MUITAS IELA 1</t>
  </si>
  <si>
    <t xml:space="preserve">MM7396</t>
  </si>
  <si>
    <t xml:space="preserve">41503073115</t>
  </si>
  <si>
    <t xml:space="preserve">KO6272</t>
  </si>
  <si>
    <t xml:space="preserve">41503049965</t>
  </si>
  <si>
    <t xml:space="preserve">KZ3369</t>
  </si>
  <si>
    <t xml:space="preserve">HE4030</t>
  </si>
  <si>
    <t xml:space="preserve">51502014741</t>
  </si>
  <si>
    <t xml:space="preserve">55.87383031914076, 26.521719540423216</t>
  </si>
  <si>
    <t xml:space="preserve">JL6951</t>
  </si>
  <si>
    <t xml:space="preserve">DAUGAVPILS, SAKŅU IELA 16/18 -10</t>
  </si>
  <si>
    <t xml:space="preserve">JU6924</t>
  </si>
  <si>
    <t xml:space="preserve">HR297</t>
  </si>
  <si>
    <t xml:space="preserve">HT3194</t>
  </si>
  <si>
    <t xml:space="preserve">MC3968</t>
  </si>
  <si>
    <t xml:space="preserve">HV5512</t>
  </si>
  <si>
    <t xml:space="preserve">40203273072</t>
  </si>
  <si>
    <t xml:space="preserve">JE8786</t>
  </si>
  <si>
    <t xml:space="preserve">MV8908</t>
  </si>
  <si>
    <t xml:space="preserve">ME6995</t>
  </si>
  <si>
    <t xml:space="preserve">51503042441</t>
  </si>
  <si>
    <t xml:space="preserve">MR4508</t>
  </si>
  <si>
    <t xml:space="preserve">KF3648</t>
  </si>
  <si>
    <t xml:space="preserve">JN8471</t>
  </si>
  <si>
    <t xml:space="preserve">95 430</t>
  </si>
  <si>
    <t xml:space="preserve">kravas DAF 95 430</t>
  </si>
  <si>
    <t xml:space="preserve">HH9833</t>
  </si>
  <si>
    <t xml:space="preserve">40003407485</t>
  </si>
  <si>
    <t xml:space="preserve">JG7721</t>
  </si>
  <si>
    <t xml:space="preserve">DAUGAVPILS, TARTU IELA 4 -2</t>
  </si>
  <si>
    <t xml:space="preserve">41503051809</t>
  </si>
  <si>
    <t xml:space="preserve">MV1533</t>
  </si>
  <si>
    <t xml:space="preserve">40203347348</t>
  </si>
  <si>
    <t xml:space="preserve">JP1757</t>
  </si>
  <si>
    <t xml:space="preserve">40203244196</t>
  </si>
  <si>
    <t xml:space="preserve">HH7174</t>
  </si>
  <si>
    <t xml:space="preserve">41502018578</t>
  </si>
  <si>
    <t xml:space="preserve">HR5925</t>
  </si>
  <si>
    <t xml:space="preserve">40203382409</t>
  </si>
  <si>
    <t xml:space="preserve">JP7769</t>
  </si>
  <si>
    <t xml:space="preserve">40003124181</t>
  </si>
  <si>
    <t xml:space="preserve">LC9394</t>
  </si>
  <si>
    <t xml:space="preserve">LG9958</t>
  </si>
  <si>
    <t xml:space="preserve">LK3816</t>
  </si>
  <si>
    <t xml:space="preserve">HT2970</t>
  </si>
  <si>
    <t xml:space="preserve">JK3203</t>
  </si>
  <si>
    <t xml:space="preserve">JB8017</t>
  </si>
  <si>
    <t xml:space="preserve">HT2971</t>
  </si>
  <si>
    <t xml:space="preserve">KE903</t>
  </si>
  <si>
    <t xml:space="preserve">MM7555</t>
  </si>
  <si>
    <t xml:space="preserve">KM4753</t>
  </si>
  <si>
    <t xml:space="preserve">LL5925</t>
  </si>
  <si>
    <t xml:space="preserve">kravas DAF FT XF, kravas DAF 95 430, kravas DAF XF 105, kravas DAF FT XF,  2x  3x  4x kravas DAF XF 105,  2x  3x kravas DAF XF 460 FT, kravas DAF XF 480 FT</t>
  </si>
  <si>
    <t xml:space="preserve">JN8360</t>
  </si>
  <si>
    <t xml:space="preserve">SIA DAUGAVPILS PILSĒTAS  MEDNIS </t>
  </si>
  <si>
    <t xml:space="preserve">41503006190</t>
  </si>
  <si>
    <t xml:space="preserve">DAUGAVPILS, DUNDURU IELA 11</t>
  </si>
  <si>
    <t xml:space="preserve">JG1454</t>
  </si>
  <si>
    <t xml:space="preserve">KU6717</t>
  </si>
  <si>
    <t xml:space="preserve">LC901</t>
  </si>
  <si>
    <t xml:space="preserve">NF320</t>
  </si>
  <si>
    <t xml:space="preserve">JB7410</t>
  </si>
  <si>
    <t xml:space="preserve">JC520</t>
  </si>
  <si>
    <t xml:space="preserve">NC920</t>
  </si>
  <si>
    <t xml:space="preserve">MP720</t>
  </si>
  <si>
    <t xml:space="preserve">NC120</t>
  </si>
  <si>
    <t xml:space="preserve"> 2x  3x  4x  5x kravas DAF FT XF, kravas DAF XF 105, kravas DAF XF 530 FT, kravas SCANIA R 450,  2x kravas VOLVO FH</t>
  </si>
  <si>
    <t xml:space="preserve">JF8344</t>
  </si>
  <si>
    <t xml:space="preserve">164L</t>
  </si>
  <si>
    <t xml:space="preserve">kravas SCANIA 164L</t>
  </si>
  <si>
    <t xml:space="preserve">41502014186</t>
  </si>
  <si>
    <t xml:space="preserve">KK5796</t>
  </si>
  <si>
    <t xml:space="preserve">KI6395</t>
  </si>
  <si>
    <t xml:space="preserve">JU4158</t>
  </si>
  <si>
    <t xml:space="preserve">GS8508</t>
  </si>
  <si>
    <t xml:space="preserve">41503079211</t>
  </si>
  <si>
    <t xml:space="preserve">KJ4999</t>
  </si>
  <si>
    <t xml:space="preserve">40203337316</t>
  </si>
  <si>
    <t xml:space="preserve">HU3279</t>
  </si>
  <si>
    <t xml:space="preserve">41503066753</t>
  </si>
  <si>
    <t xml:space="preserve">KA9100</t>
  </si>
  <si>
    <t xml:space="preserve">41503088445</t>
  </si>
  <si>
    <t xml:space="preserve">KG1027</t>
  </si>
  <si>
    <t xml:space="preserve">41501018015</t>
  </si>
  <si>
    <t xml:space="preserve">MP5781</t>
  </si>
  <si>
    <t xml:space="preserve">PREMIUM</t>
  </si>
  <si>
    <t xml:space="preserve">kravas RENAULT PREMIUM</t>
  </si>
  <si>
    <t xml:space="preserve">41501018814</t>
  </si>
  <si>
    <t xml:space="preserve">MV1625</t>
  </si>
  <si>
    <t xml:space="preserve">40203288260</t>
  </si>
  <si>
    <t xml:space="preserve">  </t>
  </si>
</sst>
</file>

<file path=xl/styles.xml><?xml version="1.0" encoding="utf-8"?>
<styleSheet xmlns="http://schemas.openxmlformats.org/spreadsheetml/2006/main">
  <numFmts count="5">
    <numFmt numFmtId="164" formatCode="General"/>
    <numFmt numFmtId="165" formatCode="[$$-409]#,##0.00;[RED]\-[$$-409]#,##0.00"/>
    <numFmt numFmtId="166" formatCode="General"/>
    <numFmt numFmtId="167" formatCode="m/d/yyyy"/>
    <numFmt numFmtId="168" formatCode="dd\.mm\.yyyy"/>
  </numFmts>
  <fonts count="20">
    <font>
      <sz val="11"/>
      <color rgb="FF000000"/>
      <name val="arial"/>
      <family val="0"/>
      <charset val="186"/>
    </font>
    <font>
      <sz val="10"/>
      <name val="Arial"/>
      <family val="0"/>
    </font>
    <font>
      <sz val="10"/>
      <name val="Arial"/>
      <family val="0"/>
    </font>
    <font>
      <sz val="10"/>
      <name val="Arial"/>
      <family val="0"/>
    </font>
    <font>
      <b val="true"/>
      <i val="true"/>
      <sz val="16"/>
      <color rgb="FF000000"/>
      <name val="Arial"/>
      <family val="2"/>
      <charset val="186"/>
    </font>
    <font>
      <b val="true"/>
      <i val="true"/>
      <sz val="16"/>
      <color rgb="FF000000"/>
      <name val="arial"/>
      <family val="0"/>
      <charset val="186"/>
    </font>
    <font>
      <u val="single"/>
      <sz val="10"/>
      <color rgb="FF0563C1"/>
      <name val="Times New Roman"/>
      <family val="2"/>
      <charset val="186"/>
    </font>
    <font>
      <u val="single"/>
      <sz val="11"/>
      <color rgb="FF0563C1"/>
      <name val="arial"/>
      <family val="0"/>
      <charset val="186"/>
    </font>
    <font>
      <sz val="10"/>
      <color rgb="FF000000"/>
      <name val="Times New Roman"/>
      <family val="2"/>
      <charset val="186"/>
    </font>
    <font>
      <b val="true"/>
      <i val="true"/>
      <u val="single"/>
      <sz val="10"/>
      <color rgb="FF000000"/>
      <name val="Arial"/>
      <family val="2"/>
      <charset val="186"/>
    </font>
    <font>
      <b val="true"/>
      <i val="true"/>
      <u val="single"/>
      <sz val="11"/>
      <color rgb="FF000000"/>
      <name val="arial"/>
      <family val="0"/>
      <charset val="186"/>
    </font>
    <font>
      <b val="true"/>
      <sz val="12"/>
      <color rgb="FF000000"/>
      <name val="arial"/>
      <family val="0"/>
      <charset val="186"/>
    </font>
    <font>
      <sz val="10"/>
      <color rgb="FF000000"/>
      <name val="Arial"/>
      <family val="2"/>
      <charset val="186"/>
    </font>
    <font>
      <sz val="11"/>
      <color rgb="FFFF0000"/>
      <name val="arial"/>
      <family val="0"/>
      <charset val="186"/>
    </font>
    <font>
      <sz val="11"/>
      <name val="arial"/>
      <family val="0"/>
      <charset val="186"/>
    </font>
    <font>
      <b val="true"/>
      <sz val="11"/>
      <color rgb="FF000000"/>
      <name val="arial"/>
      <family val="0"/>
      <charset val="186"/>
    </font>
    <font>
      <sz val="9"/>
      <color rgb="FF000000"/>
      <name val="Tahoma"/>
      <family val="2"/>
      <charset val="186"/>
    </font>
    <font>
      <sz val="10"/>
      <color rgb="FF000000"/>
      <name val="Tinos"/>
      <family val="0"/>
      <charset val="186"/>
    </font>
    <font>
      <b val="true"/>
      <sz val="10"/>
      <color rgb="FF000000"/>
      <name val="Times New Roman"/>
      <family val="1"/>
      <charset val="186"/>
    </font>
    <font>
      <sz val="10"/>
      <name val="Times New Roman"/>
      <family val="2"/>
      <charset val="186"/>
    </font>
  </fonts>
  <fills count="11">
    <fill>
      <patternFill patternType="none"/>
    </fill>
    <fill>
      <patternFill patternType="gray125"/>
    </fill>
    <fill>
      <patternFill patternType="solid">
        <fgColor rgb="FF808080"/>
        <bgColor rgb="FF969696"/>
      </patternFill>
    </fill>
    <fill>
      <patternFill patternType="solid">
        <fgColor rgb="FFFFFF99"/>
        <bgColor rgb="FFFFF2CC"/>
      </patternFill>
    </fill>
    <fill>
      <patternFill patternType="solid">
        <fgColor rgb="FFC6E0B4"/>
        <bgColor rgb="FFC5E0B4"/>
      </patternFill>
    </fill>
    <fill>
      <patternFill patternType="solid">
        <fgColor rgb="FF00B0F0"/>
        <bgColor rgb="FF33CCCC"/>
      </patternFill>
    </fill>
    <fill>
      <patternFill patternType="solid">
        <fgColor rgb="FFFFD966"/>
        <bgColor rgb="FFFFFF99"/>
      </patternFill>
    </fill>
    <fill>
      <patternFill patternType="solid">
        <fgColor rgb="FFFF7C80"/>
        <bgColor rgb="FFFF99CC"/>
      </patternFill>
    </fill>
    <fill>
      <patternFill patternType="solid">
        <fgColor rgb="FFC5E0B4"/>
        <bgColor rgb="FFC6E0B4"/>
      </patternFill>
    </fill>
    <fill>
      <patternFill patternType="solid">
        <fgColor rgb="FFFFF2CC"/>
        <bgColor rgb="FFFFFFFF"/>
      </patternFill>
    </fill>
    <fill>
      <patternFill patternType="solid">
        <fgColor rgb="FFFFFF00"/>
        <bgColor rgb="FFFFFF00"/>
      </patternFill>
    </fill>
  </fills>
  <borders count="2">
    <border diagonalUp="false" diagonalDown="false">
      <left/>
      <right/>
      <top/>
      <bottom/>
      <diagonal/>
    </border>
    <border diagonalUp="false" diagonalDown="false">
      <left style="thin"/>
      <right style="thin"/>
      <top style="thin"/>
      <bottom style="thin"/>
      <diagonal/>
    </border>
  </borders>
  <cellStyleXfs count="3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center" vertical="bottom" textRotation="0" wrapText="false" indent="0" shrinkToFit="false"/>
    </xf>
    <xf numFmtId="164" fontId="5" fillId="0" borderId="0" applyFont="true" applyBorder="false" applyAlignment="true" applyProtection="false">
      <alignment horizontal="center" vertical="bottom" textRotation="0" wrapText="false" indent="0" shrinkToFit="false"/>
    </xf>
    <xf numFmtId="164" fontId="5" fillId="0" borderId="0" applyFont="true" applyBorder="false" applyAlignment="true" applyProtection="false">
      <alignment horizontal="center" vertical="bottom" textRotation="0" wrapText="false" indent="0" shrinkToFit="false"/>
    </xf>
    <xf numFmtId="164" fontId="5" fillId="0" borderId="0" applyFont="true" applyBorder="false" applyAlignment="true" applyProtection="false">
      <alignment horizontal="center" vertical="bottom" textRotation="90" wrapText="false" indent="0" shrinkToFit="false"/>
    </xf>
    <xf numFmtId="164" fontId="4" fillId="0" borderId="0" applyFont="true" applyBorder="false" applyAlignment="true" applyProtection="false">
      <alignment horizontal="center" vertical="bottom" textRotation="90" wrapText="false" indent="0" shrinkToFit="false"/>
    </xf>
    <xf numFmtId="164" fontId="5" fillId="0" borderId="0" applyFont="true" applyBorder="false" applyAlignment="true" applyProtection="false">
      <alignment horizontal="center" vertical="bottom" textRotation="90" wrapText="false" indent="0" shrinkToFit="false"/>
    </xf>
    <xf numFmtId="164" fontId="6" fillId="0" borderId="0" applyFont="true" applyBorder="fals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false" applyAlignment="true" applyProtection="false">
      <alignment horizontal="general" vertical="bottom" textRotation="0" wrapText="false" indent="0" shrinkToFit="false"/>
    </xf>
    <xf numFmtId="164" fontId="10" fillId="0" borderId="0" applyFont="true" applyBorder="false" applyAlignment="true" applyProtection="false">
      <alignment horizontal="general" vertical="bottom" textRotation="0" wrapText="false" indent="0" shrinkToFit="false"/>
    </xf>
    <xf numFmtId="164" fontId="10" fillId="0" borderId="0" applyFont="true" applyBorder="false" applyAlignment="true" applyProtection="false">
      <alignment horizontal="general" vertical="bottom" textRotation="0" wrapText="false" indent="0" shrinkToFit="false"/>
    </xf>
    <xf numFmtId="165" fontId="10" fillId="0" borderId="0" applyFont="true" applyBorder="false" applyAlignment="true" applyProtection="false">
      <alignment horizontal="general" vertical="bottom" textRotation="0" wrapText="false" indent="0" shrinkToFit="false"/>
    </xf>
    <xf numFmtId="165" fontId="9" fillId="0" borderId="0" applyFont="true" applyBorder="false" applyAlignment="true" applyProtection="false">
      <alignment horizontal="general" vertical="bottom" textRotation="0" wrapText="false" indent="0" shrinkToFit="false"/>
    </xf>
    <xf numFmtId="164" fontId="10" fillId="0" borderId="0" applyFont="true" applyBorder="false" applyAlignment="true" applyProtection="false">
      <alignment horizontal="general" vertical="bottom" textRotation="0" wrapText="false" indent="0" shrinkToFit="false"/>
    </xf>
    <xf numFmtId="164" fontId="12" fillId="0" borderId="0" applyFont="true" applyBorder="false" applyAlignment="true" applyProtection="false">
      <alignment horizontal="general" vertical="bottom" textRotation="0" wrapText="false" indent="0" shrinkToFit="false"/>
    </xf>
  </cellStyleXfs>
  <cellXfs count="10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11" fillId="3" borderId="1" xfId="0" applyFont="true" applyBorder="true" applyAlignment="false" applyProtection="false">
      <alignment horizontal="general" vertical="bottom" textRotation="0" wrapText="false" indent="0" shrinkToFit="false"/>
      <protection locked="true" hidden="false"/>
    </xf>
    <xf numFmtId="164" fontId="11" fillId="2" borderId="1" xfId="0" applyFont="true" applyBorder="true" applyAlignment="true" applyProtection="false">
      <alignment horizontal="center" vertical="bottom" textRotation="0" wrapText="false" indent="0" shrinkToFit="false"/>
      <protection locked="true" hidden="false"/>
    </xf>
    <xf numFmtId="164" fontId="11" fillId="3" borderId="1" xfId="0" applyFont="true" applyBorder="true" applyAlignment="true" applyProtection="false">
      <alignment horizontal="general" vertical="bottom" textRotation="0" wrapText="true" indent="0" shrinkToFit="false"/>
      <protection locked="true" hidden="false"/>
    </xf>
    <xf numFmtId="164" fontId="0" fillId="4" borderId="1" xfId="0" applyFont="false" applyBorder="true" applyAlignment="true" applyProtection="false">
      <alignment horizontal="general" vertical="bottom" textRotation="0" wrapText="true" indent="0" shrinkToFit="false"/>
      <protection locked="true" hidden="false"/>
    </xf>
    <xf numFmtId="164" fontId="0" fillId="4" borderId="1" xfId="36" applyFont="true" applyBorder="true" applyAlignment="true" applyProtection="true">
      <alignment horizontal="general" vertical="bottom" textRotation="0" wrapText="true" indent="0" shrinkToFit="false"/>
      <protection locked="true" hidden="false"/>
    </xf>
    <xf numFmtId="164" fontId="0" fillId="2" borderId="1" xfId="36" applyFont="true" applyBorder="true" applyAlignment="true" applyProtection="true">
      <alignment horizontal="center"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4" borderId="0" xfId="0" applyFont="false" applyBorder="false" applyAlignment="true" applyProtection="false">
      <alignment horizontal="general" vertical="bottom" textRotation="0" wrapText="true" indent="0" shrinkToFit="false"/>
      <protection locked="true" hidden="false"/>
    </xf>
    <xf numFmtId="164" fontId="0" fillId="5" borderId="1" xfId="0" applyFont="false" applyBorder="true" applyAlignment="true" applyProtection="false">
      <alignment horizontal="general" vertical="bottom" textRotation="0" wrapText="true" indent="0" shrinkToFit="false"/>
      <protection locked="true" hidden="false"/>
    </xf>
    <xf numFmtId="166" fontId="0" fillId="5" borderId="1" xfId="36" applyFont="true" applyBorder="true" applyAlignment="true" applyProtection="true">
      <alignment horizontal="general" vertical="bottom" textRotation="0" wrapText="true" indent="0" shrinkToFit="false"/>
      <protection locked="true" hidden="false"/>
    </xf>
    <xf numFmtId="164" fontId="0" fillId="2" borderId="1" xfId="0" applyFont="false" applyBorder="true" applyAlignment="true" applyProtection="false">
      <alignment horizontal="center" vertical="bottom" textRotation="0" wrapText="true" indent="0" shrinkToFit="false"/>
      <protection locked="true" hidden="false"/>
    </xf>
    <xf numFmtId="164" fontId="0" fillId="5" borderId="0" xfId="0" applyFont="false" applyBorder="false" applyAlignment="true" applyProtection="false">
      <alignment horizontal="general" vertical="bottom" textRotation="0" wrapText="true" indent="0" shrinkToFit="false"/>
      <protection locked="true" hidden="false"/>
    </xf>
    <xf numFmtId="164" fontId="0" fillId="6" borderId="1" xfId="0" applyFont="false" applyBorder="true" applyAlignment="true" applyProtection="false">
      <alignment horizontal="general" vertical="bottom" textRotation="0" wrapText="true" indent="0" shrinkToFit="false"/>
      <protection locked="true" hidden="false"/>
    </xf>
    <xf numFmtId="164" fontId="0" fillId="6" borderId="1" xfId="36" applyFont="true" applyBorder="true" applyAlignment="true" applyProtection="true">
      <alignment horizontal="general" vertical="bottom" textRotation="0" wrapText="true" indent="0" shrinkToFit="false"/>
      <protection locked="true" hidden="false"/>
    </xf>
    <xf numFmtId="164" fontId="0" fillId="7" borderId="1" xfId="0" applyFont="false" applyBorder="true" applyAlignment="true" applyProtection="false">
      <alignment horizontal="general" vertical="bottom" textRotation="0" wrapText="true" indent="0" shrinkToFit="false"/>
      <protection locked="true" hidden="false"/>
    </xf>
    <xf numFmtId="164" fontId="0" fillId="7" borderId="1" xfId="36" applyFont="true" applyBorder="true" applyAlignment="true" applyProtection="true">
      <alignment horizontal="general" vertical="bottom" textRotation="0" wrapText="true" indent="0" shrinkToFit="false"/>
      <protection locked="true" hidden="false"/>
    </xf>
    <xf numFmtId="164" fontId="0" fillId="5" borderId="1" xfId="0" applyFont="true" applyBorder="true" applyAlignment="false" applyProtection="false">
      <alignment horizontal="general" vertical="bottom" textRotation="0" wrapText="false" indent="0" shrinkToFit="false"/>
      <protection locked="true" hidden="false"/>
    </xf>
    <xf numFmtId="164" fontId="0" fillId="5" borderId="1" xfId="36" applyFont="true" applyBorder="true" applyAlignment="true" applyProtection="true">
      <alignment horizontal="general" vertical="bottom" textRotation="0" wrapText="false" indent="0" shrinkToFit="false"/>
      <protection locked="true" hidden="false"/>
    </xf>
    <xf numFmtId="164" fontId="0" fillId="2" borderId="1" xfId="36" applyFont="true" applyBorder="true" applyAlignment="true" applyProtection="true">
      <alignment horizontal="center"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0" fillId="6" borderId="0" xfId="0" applyFont="fals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7" borderId="1" xfId="0" applyFont="true" applyBorder="true" applyAlignment="true" applyProtection="false">
      <alignment horizontal="general" vertical="center" textRotation="0" wrapText="true" indent="0" shrinkToFit="false"/>
      <protection locked="true" hidden="false"/>
    </xf>
    <xf numFmtId="166" fontId="0" fillId="7" borderId="1" xfId="0" applyFont="true" applyBorder="true" applyAlignment="true" applyProtection="false">
      <alignment horizontal="general" vertical="center" textRotation="0" wrapText="true" indent="0" shrinkToFit="false"/>
      <protection locked="true" hidden="false"/>
    </xf>
    <xf numFmtId="164" fontId="7" fillId="7" borderId="1" xfId="27" applyFont="true" applyBorder="true" applyAlignment="true" applyProtection="true">
      <alignment horizontal="general" vertical="center" textRotation="0" wrapText="true" indent="0" shrinkToFit="false"/>
      <protection locked="true" hidden="false"/>
    </xf>
    <xf numFmtId="164" fontId="0" fillId="2" borderId="1" xfId="0" applyFont="false" applyBorder="true" applyAlignment="true" applyProtection="false">
      <alignment horizontal="center" vertical="center" textRotation="0" wrapText="true" indent="0" shrinkToFit="false"/>
      <protection locked="true" hidden="false"/>
    </xf>
    <xf numFmtId="164" fontId="0" fillId="2" borderId="1" xfId="0" applyFont="true" applyBorder="true" applyAlignment="true" applyProtection="false">
      <alignment horizontal="general" vertical="center" textRotation="0" wrapText="true" indent="0" shrinkToFit="false"/>
      <protection locked="true" hidden="false"/>
    </xf>
    <xf numFmtId="166"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0" applyFont="false" applyBorder="true" applyAlignment="true" applyProtection="false">
      <alignment horizontal="general" vertical="bottom" textRotation="0" wrapText="true" indent="0" shrinkToFit="false"/>
      <protection locked="true" hidden="false"/>
    </xf>
    <xf numFmtId="166" fontId="0" fillId="6" borderId="1" xfId="0"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general" vertical="center" textRotation="0" wrapText="true" indent="0" shrinkToFit="false"/>
      <protection locked="true" hidden="false"/>
    </xf>
    <xf numFmtId="164" fontId="0" fillId="6" borderId="1" xfId="36" applyFont="true" applyBorder="true" applyAlignment="true" applyProtection="true">
      <alignment horizontal="left" vertical="bottom" textRotation="0" wrapText="true" indent="0" shrinkToFit="false"/>
      <protection locked="true" hidden="false"/>
    </xf>
    <xf numFmtId="166" fontId="0" fillId="4" borderId="1" xfId="0" applyFont="true" applyBorder="true" applyAlignment="true" applyProtection="false">
      <alignment horizontal="general" vertical="bottom" textRotation="0" wrapText="true" indent="0" shrinkToFit="false"/>
      <protection locked="true" hidden="false"/>
    </xf>
    <xf numFmtId="164" fontId="7" fillId="4" borderId="1" xfId="27" applyFont="true" applyBorder="true" applyAlignment="true" applyProtection="true">
      <alignment horizontal="general" vertical="bottom" textRotation="0" wrapText="tru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8" borderId="1" xfId="36" applyFont="true" applyBorder="true" applyAlignment="true" applyProtection="true">
      <alignment horizontal="general" vertical="bottom" textRotation="0" wrapText="tru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6" fontId="14" fillId="7" borderId="1" xfId="0" applyFont="true" applyBorder="true" applyAlignment="true" applyProtection="false">
      <alignment horizontal="general" vertical="center" textRotation="0" wrapText="true" indent="0" shrinkToFit="false"/>
      <protection locked="true" hidden="false"/>
    </xf>
    <xf numFmtId="166" fontId="14" fillId="4" borderId="1" xfId="0" applyFont="true" applyBorder="true" applyAlignment="true" applyProtection="false">
      <alignment horizontal="general" vertical="bottom" textRotation="0" wrapText="true" indent="0" shrinkToFit="false"/>
      <protection locked="true" hidden="false"/>
    </xf>
    <xf numFmtId="164" fontId="0" fillId="2" borderId="1" xfId="36" applyFont="true" applyBorder="true" applyAlignment="true" applyProtection="true">
      <alignment horizontal="general" vertical="bottom" textRotation="0" wrapText="true" indent="0" shrinkToFit="false"/>
      <protection locked="true" hidden="false"/>
    </xf>
    <xf numFmtId="164" fontId="0" fillId="2" borderId="1" xfId="0" applyFont="false" applyBorder="true" applyAlignment="true" applyProtection="false">
      <alignment horizontal="general" vertical="bottom" textRotation="0" wrapText="true" indent="0" shrinkToFit="false"/>
      <protection locked="true" hidden="false"/>
    </xf>
    <xf numFmtId="164" fontId="0" fillId="6" borderId="1" xfId="0" applyFont="false" applyBorder="true" applyAlignment="true" applyProtection="false">
      <alignment horizontal="left" vertical="bottom" textRotation="0" wrapText="tru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36" applyFont="true" applyBorder="true" applyAlignment="true" applyProtection="true">
      <alignment horizontal="general" vertical="bottom" textRotation="0" wrapText="true" indent="0" shrinkToFit="false"/>
      <protection locked="true" hidden="false"/>
    </xf>
    <xf numFmtId="166" fontId="0" fillId="0" borderId="1" xfId="0" applyFont="true" applyBorder="true" applyAlignment="true" applyProtection="false">
      <alignment horizontal="general" vertical="center" textRotation="0" wrapText="true" indent="0" shrinkToFit="false"/>
      <protection locked="true" hidden="false"/>
    </xf>
    <xf numFmtId="166" fontId="0" fillId="0" borderId="1" xfId="0" applyFont="true" applyBorder="true" applyAlignment="true" applyProtection="false">
      <alignment horizontal="general" vertical="bottom" textRotation="0" wrapText="true" indent="0" shrinkToFit="false"/>
      <protection locked="true" hidden="false"/>
    </xf>
    <xf numFmtId="166" fontId="14" fillId="0" borderId="1" xfId="0" applyFont="true" applyBorder="true" applyAlignment="true" applyProtection="false">
      <alignment horizontal="general" vertical="center" textRotation="0" wrapText="true" indent="0" shrinkToFit="false"/>
      <protection locked="true" hidden="false"/>
    </xf>
    <xf numFmtId="166" fontId="14"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bottom" textRotation="0" wrapText="true" indent="0" shrinkToFit="false"/>
      <protection locked="true" hidden="false"/>
    </xf>
    <xf numFmtId="164" fontId="11" fillId="2" borderId="1" xfId="0" applyFont="true" applyBorder="true" applyAlignment="true" applyProtection="false">
      <alignment horizontal="center" vertical="bottom" textRotation="0" wrapText="true" indent="0" shrinkToFit="false"/>
      <protection locked="true" hidden="false"/>
    </xf>
    <xf numFmtId="164" fontId="17" fillId="4" borderId="1" xfId="0" applyFont="true" applyBorder="true" applyAlignment="true" applyProtection="false">
      <alignment horizontal="general" vertical="bottom" textRotation="0" wrapText="true" indent="0" shrinkToFit="false"/>
      <protection locked="true" hidden="false"/>
    </xf>
    <xf numFmtId="164" fontId="0" fillId="7" borderId="0" xfId="0" applyFont="false" applyBorder="false" applyAlignment="true" applyProtection="false">
      <alignment horizontal="general" vertical="bottom" textRotation="0" wrapText="true" indent="0" shrinkToFit="false"/>
      <protection locked="true" hidden="false"/>
    </xf>
    <xf numFmtId="164" fontId="11" fillId="3" borderId="1" xfId="0" applyFont="true" applyBorder="true" applyAlignment="true" applyProtection="false">
      <alignment horizontal="center" vertical="bottom" textRotation="0" wrapText="true" indent="0" shrinkToFit="false"/>
      <protection locked="true" hidden="false"/>
    </xf>
    <xf numFmtId="164" fontId="11" fillId="3" borderId="1" xfId="0" applyFont="true" applyBorder="true" applyAlignment="true" applyProtection="false">
      <alignment horizontal="center" vertical="bottom" textRotation="0" wrapText="false" indent="0" shrinkToFit="false"/>
      <protection locked="true" hidden="false"/>
    </xf>
    <xf numFmtId="164" fontId="0" fillId="7" borderId="1" xfId="0" applyFont="false" applyBorder="true" applyAlignment="true" applyProtection="false">
      <alignment horizontal="center" vertical="bottom" textRotation="0" wrapText="true" indent="0" shrinkToFit="false"/>
      <protection locked="true" hidden="false"/>
    </xf>
    <xf numFmtId="164" fontId="0" fillId="4" borderId="1" xfId="36" applyFont="true" applyBorder="true" applyAlignment="true" applyProtection="true">
      <alignment horizontal="center" vertical="bottom"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center" vertical="bottom" textRotation="0" wrapText="false" indent="0" shrinkToFit="false"/>
      <protection locked="true" hidden="false"/>
    </xf>
    <xf numFmtId="164" fontId="11" fillId="3" borderId="0" xfId="0" applyFont="true" applyBorder="fals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5" borderId="0" xfId="36" applyFont="true" applyBorder="true" applyAlignment="true" applyProtection="true">
      <alignment horizontal="general" vertical="bottom" textRotation="0" wrapText="false" indent="0" shrinkToFit="false"/>
      <protection locked="true" hidden="false"/>
    </xf>
    <xf numFmtId="164" fontId="0" fillId="5" borderId="0" xfId="36" applyFont="true" applyBorder="true" applyAlignment="true" applyProtection="true">
      <alignment horizontal="center" vertical="bottom" textRotation="0" wrapText="false" indent="0" shrinkToFit="false"/>
      <protection locked="true" hidden="false"/>
    </xf>
    <xf numFmtId="164" fontId="0" fillId="5" borderId="0" xfId="36" applyFont="true" applyBorder="true" applyAlignment="true" applyProtection="true">
      <alignment horizontal="general" vertical="bottom" textRotation="0" wrapText="tru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4" fontId="7" fillId="7" borderId="0" xfId="27" applyFont="true" applyBorder="true" applyAlignment="true" applyProtection="true">
      <alignment horizontal="general"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center" vertical="bottom" textRotation="0" wrapText="false" indent="0" shrinkToFit="false"/>
      <protection locked="true" hidden="false"/>
    </xf>
    <xf numFmtId="164" fontId="0" fillId="9" borderId="0" xfId="0" applyFont="true" applyBorder="false" applyAlignment="true" applyProtection="false">
      <alignment horizontal="general" vertical="bottom" textRotation="0" wrapText="tru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0" fillId="6" borderId="0" xfId="0" applyFont="false" applyBorder="false" applyAlignment="true" applyProtection="false">
      <alignment horizontal="center" vertical="bottom" textRotation="0" wrapText="false" indent="0" shrinkToFit="false"/>
      <protection locked="true" hidden="false"/>
    </xf>
    <xf numFmtId="164" fontId="0" fillId="4" borderId="0" xfId="36" applyFont="true" applyBorder="true" applyAlignment="true" applyProtection="true">
      <alignment horizontal="general" vertical="bottom" textRotation="0" wrapText="false" indent="0" shrinkToFit="false"/>
      <protection locked="true" hidden="false"/>
    </xf>
    <xf numFmtId="164" fontId="0" fillId="4" borderId="0" xfId="36" applyFont="true" applyBorder="true" applyAlignment="true" applyProtection="true">
      <alignment horizontal="center" vertical="bottom" textRotation="0" wrapText="false" indent="0" shrinkToFit="false"/>
      <protection locked="true" hidden="false"/>
    </xf>
    <xf numFmtId="164" fontId="0" fillId="4" borderId="0" xfId="36" applyFont="true" applyBorder="true" applyAlignment="true" applyProtection="true">
      <alignment horizontal="general" vertical="bottom" textRotation="0" wrapText="true" indent="0" shrinkToFit="false"/>
      <protection locked="true" hidden="false"/>
    </xf>
    <xf numFmtId="164" fontId="0" fillId="6" borderId="0" xfId="36" applyFont="true" applyBorder="true" applyAlignment="true" applyProtection="true">
      <alignment horizontal="general" vertical="bottom" textRotation="0" wrapText="false" indent="0" shrinkToFit="false"/>
      <protection locked="true" hidden="false"/>
    </xf>
    <xf numFmtId="164" fontId="0" fillId="6" borderId="0" xfId="36" applyFont="true" applyBorder="true" applyAlignment="true" applyProtection="true">
      <alignment horizontal="center" vertical="bottom" textRotation="0" wrapText="false" indent="0" shrinkToFit="false"/>
      <protection locked="true" hidden="false"/>
    </xf>
    <xf numFmtId="164" fontId="0" fillId="6" borderId="0" xfId="36" applyFont="true" applyBorder="true" applyAlignment="true" applyProtection="true">
      <alignment horizontal="general" vertical="bottom" textRotation="0" wrapText="true" indent="0" shrinkToFit="false"/>
      <protection locked="true" hidden="false"/>
    </xf>
    <xf numFmtId="164" fontId="0" fillId="7" borderId="0" xfId="0" applyFont="fals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true" applyProtection="false">
      <alignment horizontal="general" vertical="bottom" textRotation="0" wrapText="true" indent="0" shrinkToFit="false"/>
      <protection locked="true" hidden="false"/>
    </xf>
    <xf numFmtId="164" fontId="0" fillId="7" borderId="0" xfId="0" applyFont="false" applyBorder="false" applyAlignment="true" applyProtection="false">
      <alignment horizontal="center" vertical="bottom" textRotation="0" wrapText="false" indent="0" shrinkToFit="false"/>
      <protection locked="true" hidden="false"/>
    </xf>
    <xf numFmtId="164" fontId="0" fillId="5" borderId="0" xfId="0" applyFont="false" applyBorder="false" applyAlignment="true" applyProtection="false">
      <alignment horizontal="center" vertical="bottom" textRotation="0" wrapText="false" indent="0" shrinkToFit="false"/>
      <protection locked="true" hidden="false"/>
    </xf>
    <xf numFmtId="164" fontId="0" fillId="7" borderId="0" xfId="36" applyFont="true" applyBorder="true" applyAlignment="true" applyProtection="true">
      <alignment horizontal="general" vertical="bottom" textRotation="0" wrapText="false" indent="0" shrinkToFit="false"/>
      <protection locked="true" hidden="false"/>
    </xf>
    <xf numFmtId="164" fontId="0" fillId="7" borderId="0" xfId="36" applyFont="true" applyBorder="true" applyAlignment="true" applyProtection="true">
      <alignment horizontal="center" vertical="bottom" textRotation="0" wrapText="false" indent="0" shrinkToFit="false"/>
      <protection locked="true" hidden="false"/>
    </xf>
    <xf numFmtId="164" fontId="0" fillId="7" borderId="0" xfId="36" applyFont="true" applyBorder="true" applyAlignment="true" applyProtection="true">
      <alignment horizontal="general" vertical="bottom" textRotation="0" wrapText="true" indent="0" shrinkToFit="false"/>
      <protection locked="true" hidden="false"/>
    </xf>
    <xf numFmtId="164" fontId="17" fillId="4" borderId="0" xfId="0" applyFont="true" applyBorder="false" applyAlignment="true" applyProtection="false">
      <alignment horizontal="general" vertical="bottom" textRotation="0" wrapText="true" indent="0" shrinkToFit="false"/>
      <protection locked="true" hidden="false"/>
    </xf>
    <xf numFmtId="164" fontId="8" fillId="0" borderId="0" xfId="29" applyFont="false" applyBorder="false" applyAlignment="true" applyProtection="false">
      <alignment horizontal="center" vertical="bottom" textRotation="0" wrapText="false" indent="0" shrinkToFit="false"/>
      <protection locked="true" hidden="false"/>
    </xf>
    <xf numFmtId="164" fontId="8" fillId="0" borderId="0" xfId="29" applyFont="false" applyBorder="false" applyAlignment="false" applyProtection="false">
      <alignment horizontal="general" vertical="bottom" textRotation="0" wrapText="false" indent="0" shrinkToFit="false"/>
      <protection locked="true" hidden="false"/>
    </xf>
    <xf numFmtId="167" fontId="8" fillId="0" borderId="0" xfId="29" applyFont="false" applyBorder="false" applyAlignment="false" applyProtection="false">
      <alignment horizontal="general" vertical="bottom" textRotation="0" wrapText="false" indent="0" shrinkToFit="false"/>
      <protection locked="true" hidden="false"/>
    </xf>
    <xf numFmtId="164" fontId="18" fillId="0" borderId="0" xfId="29" applyFont="true" applyBorder="false" applyAlignment="false" applyProtection="false">
      <alignment horizontal="general" vertical="bottom" textRotation="0" wrapText="false" indent="0" shrinkToFit="false"/>
      <protection locked="true" hidden="false"/>
    </xf>
    <xf numFmtId="164" fontId="18" fillId="0" borderId="0" xfId="29" applyFont="true" applyBorder="false" applyAlignment="true" applyProtection="false">
      <alignment horizontal="center" vertical="center" textRotation="90" wrapText="false" indent="0" shrinkToFit="false"/>
      <protection locked="true" hidden="false"/>
    </xf>
    <xf numFmtId="168" fontId="8" fillId="0" borderId="0" xfId="29" applyFont="false" applyBorder="false" applyAlignment="false" applyProtection="false">
      <alignment horizontal="general" vertical="bottom" textRotation="0" wrapText="false" indent="0" shrinkToFit="false"/>
      <protection locked="true" hidden="false"/>
    </xf>
    <xf numFmtId="166" fontId="8" fillId="0" borderId="0" xfId="29" applyFont="true" applyBorder="false" applyAlignment="false" applyProtection="false">
      <alignment horizontal="general" vertical="bottom" textRotation="0" wrapText="false" indent="0" shrinkToFit="false"/>
      <protection locked="true" hidden="false"/>
    </xf>
    <xf numFmtId="164" fontId="8" fillId="10" borderId="0" xfId="29" applyFont="false" applyBorder="false" applyAlignment="false" applyProtection="false">
      <alignment horizontal="general" vertical="bottom" textRotation="0" wrapText="false" indent="0" shrinkToFit="false"/>
      <protection locked="true" hidden="false"/>
    </xf>
    <xf numFmtId="166" fontId="19" fillId="0" borderId="0" xfId="29" applyFont="true" applyBorder="false" applyAlignment="false" applyProtection="false">
      <alignment horizontal="general" vertical="bottom" textRotation="0" wrapText="false" indent="0" shrinkToFit="false"/>
      <protection locked="true" hidden="false"/>
    </xf>
    <xf numFmtId="168" fontId="8" fillId="10" borderId="0" xfId="29" applyFont="false" applyBorder="false" applyAlignment="false" applyProtection="false">
      <alignment horizontal="general" vertical="bottom" textRotation="0" wrapText="false" indent="0" shrinkToFit="false"/>
      <protection locked="true" hidden="false"/>
    </xf>
    <xf numFmtId="164" fontId="6" fillId="0" borderId="0" xfId="26" applyFont="false" applyBorder="true" applyAlignment="true" applyProtection="true">
      <alignment horizontal="general" vertical="bottom" textRotation="0" wrapText="false" indent="0" shrinkToFit="false"/>
      <protection locked="true" hidden="false"/>
    </xf>
    <xf numFmtId="164" fontId="8" fillId="10" borderId="0" xfId="29" applyFont="true" applyBorder="false" applyAlignment="true" applyProtection="false">
      <alignment horizontal="general" vertical="bottom" textRotation="0" wrapText="true" indent="0" shrinkToFit="false"/>
      <protection locked="true" hidden="false"/>
    </xf>
  </cellXfs>
  <cellStyles count="23">
    <cellStyle name="Normal" xfId="0" builtinId="0"/>
    <cellStyle name="Comma" xfId="15" builtinId="3"/>
    <cellStyle name="Comma [0]" xfId="16" builtinId="6"/>
    <cellStyle name="Currency" xfId="17" builtinId="4"/>
    <cellStyle name="Currency [0]" xfId="18" builtinId="7"/>
    <cellStyle name="Percent" xfId="19" builtinId="5"/>
    <cellStyle name="Heading 1 2" xfId="20"/>
    <cellStyle name="Heading 3" xfId="21"/>
    <cellStyle name="Heading 5" xfId="22"/>
    <cellStyle name="Heading 1" xfId="23"/>
    <cellStyle name="Heading1 1" xfId="24"/>
    <cellStyle name="Heading1 2" xfId="25"/>
    <cellStyle name="Hyperlink 2" xfId="26"/>
    <cellStyle name="Hyperlink 4" xfId="27"/>
    <cellStyle name="Normal 2" xfId="28"/>
    <cellStyle name="Normal 3" xfId="29"/>
    <cellStyle name="Result 1" xfId="30"/>
    <cellStyle name="Result 2" xfId="31"/>
    <cellStyle name="Result 5" xfId="32"/>
    <cellStyle name="Result2" xfId="33"/>
    <cellStyle name="Result2 1" xfId="34"/>
    <cellStyle name="Result2 2" xfId="35"/>
    <cellStyle name="Excel Built-in Normal" xfId="36"/>
  </cellStyles>
  <dxfs count="6">
    <dxf>
      <fill>
        <patternFill patternType="solid">
          <fgColor rgb="FFFFFF99"/>
        </patternFill>
      </fill>
    </dxf>
    <dxf>
      <fill>
        <patternFill patternType="solid">
          <fgColor rgb="FF000000"/>
          <bgColor rgb="FFFFFFFF"/>
        </patternFill>
      </fill>
    </dxf>
    <dxf>
      <fill>
        <patternFill patternType="solid">
          <fgColor rgb="FF808080"/>
        </patternFill>
      </fill>
    </dxf>
    <dxf>
      <fill>
        <patternFill patternType="solid">
          <fgColor rgb="FFFFFF00"/>
        </patternFill>
      </fill>
    </dxf>
    <dxf>
      <fill>
        <patternFill patternType="solid">
          <fgColor rgb="00FFFFFF"/>
        </patternFill>
      </fill>
    </dxf>
    <dxf>
      <fill>
        <patternFill patternType="solid">
          <fgColor rgb="FF0563C1"/>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5E0B4"/>
      <rgbColor rgb="FF808080"/>
      <rgbColor rgb="FF9999FF"/>
      <rgbColor rgb="FF993366"/>
      <rgbColor rgb="FFFFF2CC"/>
      <rgbColor rgb="FFCCFFFF"/>
      <rgbColor rgb="FF660066"/>
      <rgbColor rgb="FFFF7C80"/>
      <rgbColor rgb="FF0563C1"/>
      <rgbColor rgb="FFCCCCFF"/>
      <rgbColor rgb="FF000080"/>
      <rgbColor rgb="FFFF00FF"/>
      <rgbColor rgb="FFFFFF00"/>
      <rgbColor rgb="FF00FFFF"/>
      <rgbColor rgb="FF800080"/>
      <rgbColor rgb="FF800000"/>
      <rgbColor rgb="FF008080"/>
      <rgbColor rgb="FF0000FF"/>
      <rgbColor rgb="FF00B0F0"/>
      <rgbColor rgb="FFCCFFFF"/>
      <rgbColor rgb="FFC6E0B4"/>
      <rgbColor rgb="FFFFFF99"/>
      <rgbColor rgb="FF99CCFF"/>
      <rgbColor rgb="FFFF99CC"/>
      <rgbColor rgb="FFCC99FF"/>
      <rgbColor rgb="FFFFD966"/>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www.fmcauto.lv/" TargetMode="External"/><Relationship Id="rId3" Type="http://schemas.openxmlformats.org/officeDocument/2006/relationships/hyperlink" Target="mailto:info.alexdiesel@gmail.com" TargetMode="External"/><Relationship Id="rId4" Type="http://schemas.openxmlformats.org/officeDocument/2006/relationships/hyperlink" Target="http://www.alexdiesel.lv/" TargetMode="External"/><Relationship Id="rId5" Type="http://schemas.openxmlformats.org/officeDocument/2006/relationships/hyperlink" Target="mailto:gaboteh@inbox.lv" TargetMode="External"/><Relationship Id="rId6" Type="http://schemas.openxmlformats.org/officeDocument/2006/relationships/hyperlink" Target="mailto:dpr@dpr.lv" TargetMode="External"/><Relationship Id="rId7" Type="http://schemas.openxmlformats.org/officeDocument/2006/relationships/hyperlink" Target="http://www.dpr.lv/" TargetMode="External"/><Relationship Id="rId8" Type="http://schemas.openxmlformats.org/officeDocument/2006/relationships/hyperlink" Target="mailto:info@dlrr.lv" TargetMode="External"/><Relationship Id="rId9" Type="http://schemas.openxmlformats.org/officeDocument/2006/relationships/hyperlink" Target="https://www.dlrr.eu/" TargetMode="External"/><Relationship Id="rId10" Type="http://schemas.openxmlformats.org/officeDocument/2006/relationships/hyperlink" Target="mailto:ziegler@ziegler.lv" TargetMode="External"/><Relationship Id="rId11" Type="http://schemas.openxmlformats.org/officeDocument/2006/relationships/hyperlink" Target="http://www.ziegler-gmbh.com/automobiltechnik" TargetMode="External"/><Relationship Id="rId12" Type="http://schemas.openxmlformats.org/officeDocument/2006/relationships/hyperlink" Target="tel:+37165429245" TargetMode="External"/><Relationship Id="rId13" Type="http://schemas.openxmlformats.org/officeDocument/2006/relationships/hyperlink" Target="mailto:dap@dap.apollo.lv" TargetMode="External"/><Relationship Id="rId14" Type="http://schemas.openxmlformats.org/officeDocument/2006/relationships/hyperlink" Target="https://buspark.lv/" TargetMode="External"/><Relationship Id="rId15" Type="http://schemas.openxmlformats.org/officeDocument/2006/relationships/hyperlink" Target="https://satiksme.daugavpils.lv/" TargetMode="External"/><Relationship Id="rId16"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hyperlink" Target="http://www.belmast.lv/" TargetMode="External"/><Relationship Id="rId3" Type="http://schemas.openxmlformats.org/officeDocument/2006/relationships/hyperlink" Target="mailto:apeks.serviss@gmail.com" TargetMode="External"/><Relationship Id="rId4" Type="http://schemas.openxmlformats.org/officeDocument/2006/relationships/hyperlink" Target="https://apeks.lv/" TargetMode="External"/><Relationship Id="rId5" Type="http://schemas.openxmlformats.org/officeDocument/2006/relationships/hyperlink" Target="http://www.latliga.lv/" TargetMode="External"/><Relationship Id="rId6" Type="http://schemas.openxmlformats.org/officeDocument/2006/relationships/hyperlink" Target="mailto:dsibuve@inbox.lv" TargetMode="External"/><Relationship Id="rId7" Type="http://schemas.openxmlformats.org/officeDocument/2006/relationships/hyperlink" Target="mailto:dautrans@apollo.lv" TargetMode="External"/><Relationship Id="rId8" Type="http://schemas.openxmlformats.org/officeDocument/2006/relationships/hyperlink" Target="https://dautrans.lv/" TargetMode="External"/><Relationship Id="rId9" Type="http://schemas.openxmlformats.org/officeDocument/2006/relationships/hyperlink" Target="mailto:bus.noma@gmail.com" TargetMode="External"/><Relationship Id="rId10" Type="http://schemas.openxmlformats.org/officeDocument/2006/relationships/hyperlink" Target="http://www.busnoma.lv/?i=1" TargetMode="External"/><Relationship Id="rId11" Type="http://schemas.openxmlformats.org/officeDocument/2006/relationships/hyperlink" Target="mailto:info@megabus.lv" TargetMode="External"/><Relationship Id="rId12" Type="http://schemas.openxmlformats.org/officeDocument/2006/relationships/hyperlink" Target="https://www.megabus.lv/" TargetMode="External"/><Relationship Id="rId13" Type="http://schemas.openxmlformats.org/officeDocument/2006/relationships/hyperlink" Target="mailto:mednis1@inbox.lv" TargetMode="External"/><Relationship Id="rId14" Type="http://schemas.openxmlformats.org/officeDocument/2006/relationships/hyperlink" Target="tel:+37165429245" TargetMode="External"/><Relationship Id="rId15" Type="http://schemas.openxmlformats.org/officeDocument/2006/relationships/hyperlink" Target="mailto:dap@dap.apollo.lv" TargetMode="External"/><Relationship Id="rId16" Type="http://schemas.openxmlformats.org/officeDocument/2006/relationships/hyperlink" Target="https://buspark.lv/" TargetMode="External"/><Relationship Id="rId17" Type="http://schemas.openxmlformats.org/officeDocument/2006/relationships/hyperlink" Target="https://satiksme.daugavpils.lv/" TargetMode="External"/><Relationship Id="rId18" Type="http://schemas.openxmlformats.org/officeDocument/2006/relationships/drawing" Target="../drawings/drawing1.xml"/><Relationship Id="rId19" Type="http://schemas.openxmlformats.org/officeDocument/2006/relationships/vmlDrawing" Target="../drawings/vmlDrawing2.v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hyperlink" Target="mailto:buvmehanizacijad@inbox.lv" TargetMode="External"/><Relationship Id="rId3" Type="http://schemas.openxmlformats.org/officeDocument/2006/relationships/hyperlink" Target="http://www.buvmehanizacija.lv/" TargetMode="External"/><Relationship Id="rId4" Type="http://schemas.openxmlformats.org/officeDocument/2006/relationships/hyperlink" Target="mailto:mehanizacija@apollo.lv" TargetMode="External"/><Relationship Id="rId5" Type="http://schemas.openxmlformats.org/officeDocument/2006/relationships/hyperlink" Target="https://www.daugavpilsbuvmehanizacija.lv/" TargetMode="External"/><Relationship Id="rId6" Type="http://schemas.openxmlformats.org/officeDocument/2006/relationships/hyperlink" Target="mailto:pserskis@gmail.com" TargetMode="External"/><Relationship Id="rId7" Type="http://schemas.openxmlformats.org/officeDocument/2006/relationships/hyperlink" Target="mailto:info@ecobaltiavide.lv" TargetMode="External"/><Relationship Id="rId8" Type="http://schemas.openxmlformats.org/officeDocument/2006/relationships/hyperlink" Target="https://www.ecobaltiavide.lv/" TargetMode="External"/><Relationship Id="rId9" Type="http://schemas.openxmlformats.org/officeDocument/2006/relationships/hyperlink" Target="mailto:daugavpils@storent.com" TargetMode="External"/><Relationship Id="rId10" Type="http://schemas.openxmlformats.org/officeDocument/2006/relationships/hyperlink" Target="https://www.storent.lv/" TargetMode="External"/><Relationship Id="rId11" Type="http://schemas.openxmlformats.org/officeDocument/2006/relationships/hyperlink" Target="mailto:ofice@latgalesceldaris.lv" TargetMode="External"/><Relationship Id="rId12" Type="http://schemas.openxmlformats.org/officeDocument/2006/relationships/hyperlink" Target="https://www.latgalesceldaris.lv/" TargetMode="External"/><Relationship Id="rId13" Type="http://schemas.openxmlformats.org/officeDocument/2006/relationships/hyperlink" Target="mailto:danmet@inbox.lv" TargetMode="External"/><Relationship Id="rId14" Type="http://schemas.openxmlformats.org/officeDocument/2006/relationships/hyperlink" Target="mailto:specatu@specatu.lv" TargetMode="External"/><Relationship Id="rId15" Type="http://schemas.openxmlformats.org/officeDocument/2006/relationships/hyperlink" Target="http://www.specatu.lv/" TargetMode="External"/><Relationship Id="rId16" Type="http://schemas.openxmlformats.org/officeDocument/2006/relationships/hyperlink" Target="mailto:ofiss@builder.lv" TargetMode="External"/><Relationship Id="rId17" Type="http://schemas.openxmlformats.org/officeDocument/2006/relationships/drawing" Target="../drawings/drawing2.xml"/><Relationship Id="rId18" Type="http://schemas.openxmlformats.org/officeDocument/2006/relationships/vmlDrawing" Target="../drawings/vmlDrawing3.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hyperlink" Target="mailto:daugavpilsgaita@gmail.com" TargetMode="External"/><Relationship Id="rId3" Type="http://schemas.openxmlformats.org/officeDocument/2006/relationships/vmlDrawing" Target="../drawings/vmlDrawing4.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hyperlink" Target="mailto:ziegler@ziegler.lv" TargetMode="External"/><Relationship Id="rId3" Type="http://schemas.openxmlformats.org/officeDocument/2006/relationships/hyperlink" Target="http://www.ziegler-gmbh.com/automobiltechnik" TargetMode="External"/><Relationship Id="rId4" Type="http://schemas.openxmlformats.org/officeDocument/2006/relationships/hyperlink" Target="http://www.belmast.lv/" TargetMode="External"/><Relationship Id="rId5" Type="http://schemas.openxmlformats.org/officeDocument/2006/relationships/hyperlink" Target="mailto:apeks.serviss@gmail.com" TargetMode="External"/><Relationship Id="rId6" Type="http://schemas.openxmlformats.org/officeDocument/2006/relationships/hyperlink" Target="https://apeks.lv/" TargetMode="External"/><Relationship Id="rId7" Type="http://schemas.openxmlformats.org/officeDocument/2006/relationships/hyperlink" Target="http://www.latliga.lv/" TargetMode="External"/><Relationship Id="rId8" Type="http://schemas.openxmlformats.org/officeDocument/2006/relationships/hyperlink" Target="mailto:dsibuve@inbox.lv" TargetMode="External"/><Relationship Id="rId9" Type="http://schemas.openxmlformats.org/officeDocument/2006/relationships/hyperlink" Target="mailto:dautrans@apollo.lv" TargetMode="External"/><Relationship Id="rId10" Type="http://schemas.openxmlformats.org/officeDocument/2006/relationships/hyperlink" Target="https://dautrans.lv/" TargetMode="External"/><Relationship Id="rId11" Type="http://schemas.openxmlformats.org/officeDocument/2006/relationships/hyperlink" Target="mailto:bus.noma@gmail.com" TargetMode="External"/><Relationship Id="rId12" Type="http://schemas.openxmlformats.org/officeDocument/2006/relationships/hyperlink" Target="http://www.busnoma.lv/?i=1" TargetMode="External"/><Relationship Id="rId13" Type="http://schemas.openxmlformats.org/officeDocument/2006/relationships/hyperlink" Target="mailto:info@megabus.lv" TargetMode="External"/><Relationship Id="rId14" Type="http://schemas.openxmlformats.org/officeDocument/2006/relationships/hyperlink" Target="https://www.megabus.lv/" TargetMode="External"/><Relationship Id="rId15" Type="http://schemas.openxmlformats.org/officeDocument/2006/relationships/hyperlink" Target="mailto:mednis1@inbox.lv" TargetMode="External"/><Relationship Id="rId16" Type="http://schemas.openxmlformats.org/officeDocument/2006/relationships/hyperlink" Target="tel:+37165429245" TargetMode="External"/><Relationship Id="rId17" Type="http://schemas.openxmlformats.org/officeDocument/2006/relationships/hyperlink" Target="mailto:dap@dap.apollo.lv" TargetMode="External"/><Relationship Id="rId18" Type="http://schemas.openxmlformats.org/officeDocument/2006/relationships/hyperlink" Target="https://buspark.lv/" TargetMode="External"/><Relationship Id="rId19" Type="http://schemas.openxmlformats.org/officeDocument/2006/relationships/hyperlink" Target="https://satiksme.daugavpils.lv/" TargetMode="External"/><Relationship Id="rId20" Type="http://schemas.openxmlformats.org/officeDocument/2006/relationships/hyperlink" Target="mailto:daugavpilsgaita@gmail.com" TargetMode="External"/><Relationship Id="rId21" Type="http://schemas.openxmlformats.org/officeDocument/2006/relationships/hyperlink" Target="mailto:info.alexdiesel@gmail.com" TargetMode="External"/><Relationship Id="rId22" Type="http://schemas.openxmlformats.org/officeDocument/2006/relationships/hyperlink" Target="http://www.alexdiesel.lv/" TargetMode="External"/><Relationship Id="rId23" Type="http://schemas.openxmlformats.org/officeDocument/2006/relationships/hyperlink" Target="mailto:gaboteh@inbox.lv" TargetMode="External"/><Relationship Id="rId24" Type="http://schemas.openxmlformats.org/officeDocument/2006/relationships/hyperlink" Target="mailto:dpr@dpr.lv" TargetMode="External"/><Relationship Id="rId25" Type="http://schemas.openxmlformats.org/officeDocument/2006/relationships/hyperlink" Target="http://www.dpr.lv/" TargetMode="External"/><Relationship Id="rId26" Type="http://schemas.openxmlformats.org/officeDocument/2006/relationships/hyperlink" Target="mailto:info@dlrr.lv" TargetMode="External"/><Relationship Id="rId27" Type="http://schemas.openxmlformats.org/officeDocument/2006/relationships/hyperlink" Target="https://www.dlrr.eu/" TargetMode="External"/><Relationship Id="rId28" Type="http://schemas.openxmlformats.org/officeDocument/2006/relationships/hyperlink" Target="https://bnn-news.com/osinovskis-million-case-elksnins-requested-money-for-knab-196120" TargetMode="External"/><Relationship Id="rId29" Type="http://schemas.openxmlformats.org/officeDocument/2006/relationships/hyperlink" Target="mailto:buvmehanizacijad@inbox.lv" TargetMode="External"/><Relationship Id="rId30" Type="http://schemas.openxmlformats.org/officeDocument/2006/relationships/hyperlink" Target="http://www.buvmehanizacija.lv/" TargetMode="External"/><Relationship Id="rId31" Type="http://schemas.openxmlformats.org/officeDocument/2006/relationships/hyperlink" Target="mailto:mehanizacija@apollo.lv" TargetMode="External"/><Relationship Id="rId32" Type="http://schemas.openxmlformats.org/officeDocument/2006/relationships/hyperlink" Target="https://www.daugavpilsbuvmehanizacija.lv/" TargetMode="External"/><Relationship Id="rId33" Type="http://schemas.openxmlformats.org/officeDocument/2006/relationships/hyperlink" Target="mailto:pserskis@gmail.com" TargetMode="External"/><Relationship Id="rId34" Type="http://schemas.openxmlformats.org/officeDocument/2006/relationships/hyperlink" Target="mailto:info@ecobaltiavide.lv" TargetMode="External"/><Relationship Id="rId35" Type="http://schemas.openxmlformats.org/officeDocument/2006/relationships/hyperlink" Target="https://www.ecobaltiavide.lv/" TargetMode="External"/><Relationship Id="rId36" Type="http://schemas.openxmlformats.org/officeDocument/2006/relationships/hyperlink" Target="mailto:daugavpils@storent.com" TargetMode="External"/><Relationship Id="rId37" Type="http://schemas.openxmlformats.org/officeDocument/2006/relationships/hyperlink" Target="https://www.storent.lv/" TargetMode="External"/><Relationship Id="rId38" Type="http://schemas.openxmlformats.org/officeDocument/2006/relationships/hyperlink" Target="mailto:ofice@latgalesceldaris.lv" TargetMode="External"/><Relationship Id="rId39" Type="http://schemas.openxmlformats.org/officeDocument/2006/relationships/hyperlink" Target="https://www.latgalesceldaris.lv/" TargetMode="External"/><Relationship Id="rId40" Type="http://schemas.openxmlformats.org/officeDocument/2006/relationships/hyperlink" Target="mailto:danmet@inbox.lv" TargetMode="External"/><Relationship Id="rId41" Type="http://schemas.openxmlformats.org/officeDocument/2006/relationships/hyperlink" Target="mailto:specatu@specatu.lv" TargetMode="External"/><Relationship Id="rId42" Type="http://schemas.openxmlformats.org/officeDocument/2006/relationships/hyperlink" Target="http://www.specatu.lv/" TargetMode="External"/><Relationship Id="rId43" Type="http://schemas.openxmlformats.org/officeDocument/2006/relationships/hyperlink" Target="mailto:ofiss@builder.lv" TargetMode="External"/><Relationship Id="rId44" Type="http://schemas.openxmlformats.org/officeDocument/2006/relationships/drawing" Target="../drawings/drawing3.xml"/><Relationship Id="rId45" Type="http://schemas.openxmlformats.org/officeDocument/2006/relationships/vmlDrawing" Target="../drawings/vmlDrawing5.vml"/>
</Relationships>
</file>

<file path=xl/worksheets/_rels/sheet6.xml.rels><?xml version="1.0" encoding="UTF-8"?>
<Relationships xmlns="http://schemas.openxmlformats.org/package/2006/relationships"><Relationship Id="rId1" Type="http://schemas.openxmlformats.org/officeDocument/2006/relationships/hyperlink" Target="tel:29121830" TargetMode="External"/><Relationship Id="rId2" Type="http://schemas.openxmlformats.org/officeDocument/2006/relationships/drawing" Target="../drawings/drawing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P10"/>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selection pane="topLeft" activeCell="F5" activeCellId="0" sqref="F5"/>
    </sheetView>
  </sheetViews>
  <sheetFormatPr defaultColWidth="8.69140625" defaultRowHeight="13.5" zeroHeight="false" outlineLevelRow="0" outlineLevelCol="0"/>
  <cols>
    <col collapsed="false" customWidth="true" hidden="false" outlineLevel="0" max="1" min="1" style="0" width="10.7"/>
    <col collapsed="false" customWidth="true" hidden="false" outlineLevel="0" max="2" min="2" style="0" width="15.9"/>
    <col collapsed="false" customWidth="true" hidden="false" outlineLevel="0" max="4" min="3" style="0" width="15.3"/>
    <col collapsed="false" customWidth="true" hidden="false" outlineLevel="0" max="7" min="5" style="0" width="23.3"/>
    <col collapsed="false" customWidth="true" hidden="false" outlineLevel="0" max="10" min="8" style="0" width="14.6"/>
    <col collapsed="false" customWidth="true" hidden="false" outlineLevel="0" max="11" min="11" style="0" width="18.2"/>
    <col collapsed="false" customWidth="true" hidden="false" outlineLevel="0" max="12" min="12" style="0" width="19.7"/>
    <col collapsed="false" customWidth="true" hidden="false" outlineLevel="0" max="13" min="13" style="0" width="25.7"/>
    <col collapsed="false" customWidth="true" hidden="false" outlineLevel="0" max="14" min="14" style="1" width="23.2"/>
    <col collapsed="false" customWidth="true" hidden="false" outlineLevel="0" max="15" min="15" style="1" width="14.3"/>
    <col collapsed="false" customWidth="true" hidden="false" outlineLevel="0" max="16" min="16" style="0" width="23.2"/>
    <col collapsed="false" customWidth="true" hidden="false" outlineLevel="0" max="18" min="18" style="0" width="20"/>
    <col collapsed="false" customWidth="true" hidden="false" outlineLevel="0" max="19" min="19" style="0" width="43.69"/>
    <col collapsed="false" customWidth="false" hidden="false" outlineLevel="0" max="68" min="20" style="2" width="8.7"/>
  </cols>
  <sheetData>
    <row r="1" customFormat="false" ht="15" hidden="false" customHeight="false" outlineLevel="0" collapsed="false">
      <c r="A1" s="3" t="s">
        <v>0</v>
      </c>
      <c r="B1" s="3" t="s">
        <v>1</v>
      </c>
      <c r="C1" s="3" t="s">
        <v>2</v>
      </c>
      <c r="D1" s="3" t="s">
        <v>3</v>
      </c>
      <c r="E1" s="3" t="s">
        <v>4</v>
      </c>
      <c r="F1" s="3" t="s">
        <v>5</v>
      </c>
      <c r="G1" s="3" t="s">
        <v>6</v>
      </c>
      <c r="H1" s="3" t="s">
        <v>7</v>
      </c>
      <c r="I1" s="3" t="s">
        <v>8</v>
      </c>
      <c r="J1" s="3" t="s">
        <v>9</v>
      </c>
      <c r="K1" s="3" t="s">
        <v>10</v>
      </c>
      <c r="L1" s="3" t="s">
        <v>11</v>
      </c>
      <c r="M1" s="3" t="s">
        <v>12</v>
      </c>
      <c r="N1" s="4" t="s">
        <v>13</v>
      </c>
      <c r="O1" s="4" t="s">
        <v>14</v>
      </c>
      <c r="P1" s="5" t="s">
        <v>15</v>
      </c>
      <c r="Q1" s="3"/>
      <c r="R1" s="3"/>
      <c r="S1" s="3"/>
    </row>
    <row r="2" s="10" customFormat="true" ht="41.25" hidden="false" customHeight="false" outlineLevel="0" collapsed="false">
      <c r="A2" s="6"/>
      <c r="B2" s="7" t="s">
        <v>16</v>
      </c>
      <c r="C2" s="7" t="s">
        <v>17</v>
      </c>
      <c r="D2" s="7" t="s">
        <v>18</v>
      </c>
      <c r="E2" s="7" t="s">
        <v>19</v>
      </c>
      <c r="F2" s="7" t="str">
        <f aca="false">CO_ORDINATES(E2)</f>
        <v>55.888761200000005,26.533658324727227</v>
      </c>
      <c r="G2" s="7"/>
      <c r="H2" s="7" t="s">
        <v>20</v>
      </c>
      <c r="I2" s="7" t="str">
        <f aca="false">CO_ORDINATES(H2)</f>
        <v>55.87483265,26.567391549999993</v>
      </c>
      <c r="J2" s="7"/>
      <c r="K2" s="7" t="n">
        <v>20483371</v>
      </c>
      <c r="L2" s="7"/>
      <c r="M2" s="7" t="s">
        <v>21</v>
      </c>
      <c r="N2" s="8" t="n">
        <v>12</v>
      </c>
      <c r="O2" s="8" t="s">
        <v>22</v>
      </c>
      <c r="P2" s="7"/>
      <c r="Q2" s="7"/>
      <c r="R2" s="7"/>
      <c r="S2" s="7"/>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row>
    <row r="3" s="14" customFormat="true" ht="41.25" hidden="false" customHeight="false" outlineLevel="0" collapsed="false">
      <c r="A3" s="11"/>
      <c r="B3" s="11" t="s">
        <v>23</v>
      </c>
      <c r="C3" s="11" t="s">
        <v>24</v>
      </c>
      <c r="D3" s="11" t="s">
        <v>25</v>
      </c>
      <c r="E3" s="11" t="s">
        <v>26</v>
      </c>
      <c r="F3" s="12" t="str">
        <f aca="false">CO_ORDINATES(E3)</f>
        <v>55.88214655,26.51957572902264</v>
      </c>
      <c r="G3" s="11"/>
      <c r="H3" s="11" t="s">
        <v>26</v>
      </c>
      <c r="I3" s="12" t="str">
        <f aca="false">CO_ORDINATES(H3)</f>
        <v>55.88214655,26.51957572902264</v>
      </c>
      <c r="J3" s="11"/>
      <c r="K3" s="11" t="s">
        <v>27</v>
      </c>
      <c r="L3" s="11" t="s">
        <v>28</v>
      </c>
      <c r="M3" s="11" t="s">
        <v>29</v>
      </c>
      <c r="N3" s="13" t="n">
        <v>2</v>
      </c>
      <c r="O3" s="13" t="s">
        <v>30</v>
      </c>
      <c r="P3" s="11"/>
      <c r="Q3" s="11"/>
      <c r="R3" s="11"/>
      <c r="S3" s="11"/>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row>
    <row r="4" s="14" customFormat="true" ht="54.75" hidden="false" customHeight="false" outlineLevel="0" collapsed="false">
      <c r="A4" s="11"/>
      <c r="B4" s="11" t="s">
        <v>31</v>
      </c>
      <c r="C4" s="11" t="s">
        <v>24</v>
      </c>
      <c r="D4" s="11" t="s">
        <v>32</v>
      </c>
      <c r="E4" s="11" t="s">
        <v>33</v>
      </c>
      <c r="F4" s="12" t="str">
        <f aca="false">CO_ORDINATES(E4)</f>
        <v>56.0027503,25.906524376410133</v>
      </c>
      <c r="G4" s="11"/>
      <c r="H4" s="11" t="s">
        <v>33</v>
      </c>
      <c r="I4" s="12" t="str">
        <f aca="false">CO_ORDINATES(H4)</f>
        <v>56.0027503,25.906524376410133</v>
      </c>
      <c r="J4" s="11"/>
      <c r="K4" s="11" t="s">
        <v>34</v>
      </c>
      <c r="L4" s="11" t="s">
        <v>35</v>
      </c>
      <c r="M4" s="11"/>
      <c r="N4" s="13" t="n">
        <v>6</v>
      </c>
      <c r="O4" s="13" t="s">
        <v>36</v>
      </c>
      <c r="P4" s="11"/>
      <c r="Q4" s="11"/>
      <c r="R4" s="11"/>
      <c r="S4" s="11"/>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row>
    <row r="5" s="10" customFormat="true" ht="41.25" hidden="false" customHeight="false" outlineLevel="0" collapsed="false">
      <c r="A5" s="15"/>
      <c r="B5" s="16" t="s">
        <v>37</v>
      </c>
      <c r="C5" s="16" t="s">
        <v>24</v>
      </c>
      <c r="D5" s="16" t="s">
        <v>38</v>
      </c>
      <c r="E5" s="16" t="s">
        <v>39</v>
      </c>
      <c r="F5" s="16" t="str">
        <f aca="false">CO_ORDINATES(E5)</f>
        <v>55.8950864,26.546020795026667</v>
      </c>
      <c r="G5" s="16"/>
      <c r="H5" s="16" t="s">
        <v>39</v>
      </c>
      <c r="I5" s="16" t="str">
        <f aca="false">CO_ORDINATES(H5)</f>
        <v>55.8950864,26.546020795026667</v>
      </c>
      <c r="J5" s="16"/>
      <c r="K5" s="16" t="s">
        <v>40</v>
      </c>
      <c r="L5" s="16" t="s">
        <v>41</v>
      </c>
      <c r="M5" s="16" t="s">
        <v>42</v>
      </c>
      <c r="N5" s="8" t="n">
        <v>137</v>
      </c>
      <c r="O5" s="8" t="s">
        <v>43</v>
      </c>
      <c r="P5" s="16"/>
      <c r="Q5" s="16"/>
      <c r="R5" s="16"/>
      <c r="S5" s="16"/>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row>
    <row r="6" s="10" customFormat="true" ht="54.75" hidden="false" customHeight="false" outlineLevel="0" collapsed="false">
      <c r="A6" s="11"/>
      <c r="B6" s="11" t="s">
        <v>44</v>
      </c>
      <c r="C6" s="11" t="s">
        <v>45</v>
      </c>
      <c r="D6" s="11" t="s">
        <v>46</v>
      </c>
      <c r="E6" s="11" t="s">
        <v>47</v>
      </c>
      <c r="F6" s="12" t="str">
        <f aca="false">CO_ORDINATES(E6)</f>
        <v>56.88208865,24.074620881925195</v>
      </c>
      <c r="G6" s="11"/>
      <c r="H6" s="11" t="s">
        <v>48</v>
      </c>
      <c r="I6" s="12" t="str">
        <f aca="false">CO_ORDINATES(H6)</f>
        <v>55.88292095,26.5145349</v>
      </c>
      <c r="J6" s="11"/>
      <c r="K6" s="11" t="n">
        <v>65407006</v>
      </c>
      <c r="L6" s="11"/>
      <c r="M6" s="11"/>
      <c r="N6" s="13"/>
      <c r="O6" s="13"/>
      <c r="P6" s="11"/>
      <c r="Q6" s="11"/>
      <c r="R6" s="11"/>
      <c r="S6" s="11"/>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row>
    <row r="7" s="10" customFormat="true" ht="54.75" hidden="false" customHeight="false" outlineLevel="0" collapsed="false">
      <c r="A7" s="17"/>
      <c r="B7" s="18" t="s">
        <v>49</v>
      </c>
      <c r="C7" s="18" t="s">
        <v>50</v>
      </c>
      <c r="D7" s="18" t="s">
        <v>51</v>
      </c>
      <c r="E7" s="18" t="s">
        <v>52</v>
      </c>
      <c r="F7" s="18" t="str">
        <f aca="false">CO_ORDINATES(E7)</f>
        <v>55.868854999999996,26.541541415842474</v>
      </c>
      <c r="G7" s="18"/>
      <c r="H7" s="18" t="s">
        <v>53</v>
      </c>
      <c r="I7" s="18" t="str">
        <f aca="false">CO_ORDINATES(H7)</f>
        <v>55.868854999999996,26.541541415842474</v>
      </c>
      <c r="J7" s="18"/>
      <c r="K7" s="18" t="s">
        <v>54</v>
      </c>
      <c r="L7" s="18" t="s">
        <v>55</v>
      </c>
      <c r="M7" s="18" t="s">
        <v>56</v>
      </c>
      <c r="N7" s="8" t="n">
        <v>124</v>
      </c>
      <c r="O7" s="8" t="s">
        <v>57</v>
      </c>
      <c r="P7" s="18"/>
      <c r="Q7" s="18"/>
      <c r="R7" s="18"/>
      <c r="S7" s="18"/>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row>
    <row r="8" s="22" customFormat="true" ht="41.25" hidden="false" customHeight="false" outlineLevel="0" collapsed="false">
      <c r="A8" s="19" t="s">
        <v>58</v>
      </c>
      <c r="B8" s="12" t="s">
        <v>59</v>
      </c>
      <c r="C8" s="20" t="s">
        <v>60</v>
      </c>
      <c r="D8" s="20" t="s">
        <v>61</v>
      </c>
      <c r="E8" s="20" t="s">
        <v>62</v>
      </c>
      <c r="F8" s="12" t="str">
        <f aca="false">CO_ORDINATES(E8)</f>
        <v>55.89770245,26.53724975216658</v>
      </c>
      <c r="G8" s="20"/>
      <c r="H8" s="20" t="s">
        <v>62</v>
      </c>
      <c r="I8" s="12" t="str">
        <f aca="false">CO_ORDINATES(H8)</f>
        <v>55.89770245,26.53724975216658</v>
      </c>
      <c r="J8" s="20"/>
      <c r="K8" s="20" t="s">
        <v>63</v>
      </c>
      <c r="L8" s="20" t="s">
        <v>64</v>
      </c>
      <c r="M8" s="20" t="s">
        <v>65</v>
      </c>
      <c r="N8" s="21" t="n">
        <v>261</v>
      </c>
      <c r="O8" s="21" t="s">
        <v>66</v>
      </c>
      <c r="P8" s="12"/>
      <c r="Q8" s="20"/>
      <c r="R8" s="20"/>
      <c r="S8" s="20"/>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row>
    <row r="9" s="10" customFormat="true" ht="41.25" hidden="false" customHeight="false" outlineLevel="0" collapsed="false">
      <c r="A9" s="6" t="s">
        <v>58</v>
      </c>
      <c r="B9" s="6" t="s">
        <v>67</v>
      </c>
      <c r="C9" s="6" t="s">
        <v>68</v>
      </c>
      <c r="D9" s="6" t="s">
        <v>69</v>
      </c>
      <c r="E9" s="6" t="s">
        <v>70</v>
      </c>
      <c r="F9" s="7" t="str">
        <f aca="false">CO_ORDINATES(E9)</f>
        <v>55.88890725,26.516736204695874</v>
      </c>
      <c r="G9" s="6"/>
      <c r="H9" s="6" t="s">
        <v>70</v>
      </c>
      <c r="I9" s="7" t="str">
        <f aca="false">CO_ORDINATES(H9)</f>
        <v>55.88890725,26.516736204695874</v>
      </c>
      <c r="J9" s="6"/>
      <c r="K9" s="6" t="s">
        <v>71</v>
      </c>
      <c r="L9" s="6" t="s">
        <v>72</v>
      </c>
      <c r="M9" s="6" t="s">
        <v>73</v>
      </c>
      <c r="N9" s="13" t="n">
        <v>198</v>
      </c>
      <c r="O9" s="13" t="s">
        <v>74</v>
      </c>
      <c r="P9" s="6"/>
      <c r="Q9" s="6"/>
      <c r="R9" s="6"/>
      <c r="S9" s="6"/>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row>
    <row r="10" s="23" customFormat="true" ht="54.75" hidden="false" customHeight="false" outlineLevel="0" collapsed="false">
      <c r="A10" s="6" t="s">
        <v>58</v>
      </c>
      <c r="B10" s="7" t="s">
        <v>75</v>
      </c>
      <c r="C10" s="7" t="s">
        <v>68</v>
      </c>
      <c r="D10" s="7" t="s">
        <v>69</v>
      </c>
      <c r="E10" s="7" t="s">
        <v>76</v>
      </c>
      <c r="F10" s="7" t="str">
        <f aca="false">CO_ORDINATES(E10)</f>
        <v>55.880778750000005,26.55507251974601</v>
      </c>
      <c r="G10" s="7"/>
      <c r="H10" s="7" t="s">
        <v>77</v>
      </c>
      <c r="I10" s="7" t="str">
        <f aca="false">CO_ORDINATES(H10)</f>
        <v>55.880778750000005,26.55507251974601</v>
      </c>
      <c r="J10" s="7"/>
      <c r="K10" s="7" t="s">
        <v>78</v>
      </c>
      <c r="L10" s="7" t="s">
        <v>79</v>
      </c>
      <c r="M10" s="7" t="s">
        <v>80</v>
      </c>
      <c r="N10" s="8" t="n">
        <v>557</v>
      </c>
      <c r="O10" s="8" t="s">
        <v>81</v>
      </c>
      <c r="P10" s="7"/>
      <c r="Q10" s="7"/>
      <c r="R10" s="7"/>
      <c r="S10" s="7"/>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row>
  </sheetData>
  <hyperlinks>
    <hyperlink ref="M2" r:id="rId2" display="www.fmcauto.lv"/>
    <hyperlink ref="L3" r:id="rId3" display="info.alexdiesel@gmail.com"/>
    <hyperlink ref="M3" r:id="rId4" display="http://www.alexdiesel.lv"/>
    <hyperlink ref="L4" r:id="rId5" display="gaboteh@inbox.lv"/>
    <hyperlink ref="L5" r:id="rId6" display="dpr@dpr.lv"/>
    <hyperlink ref="M5" r:id="rId7" display="http://www.dpr.lv; https://shop.ditton.ru/"/>
    <hyperlink ref="L7" r:id="rId8" display="info@dlrr.lv"/>
    <hyperlink ref="M7" r:id="rId9" display="https://www.dlrr.eu/"/>
    <hyperlink ref="L8" r:id="rId10" display="ziegler@ziegler.lv"/>
    <hyperlink ref="M8" r:id="rId11" display="http://www.ziegler-gmbh.com/automobiltechnik"/>
    <hyperlink ref="K9" r:id="rId12" display="654 29245"/>
    <hyperlink ref="L9" r:id="rId13" display="dap@dap.apollo.lv"/>
    <hyperlink ref="M9" r:id="rId14" display="https://buspark.lv/"/>
    <hyperlink ref="M10" r:id="rId15" display="https://satiksme.daugavpils.lv/"/>
  </hyperlinks>
  <printOptions headings="false" gridLines="false" gridLinesSet="true" horizontalCentered="false" verticalCentered="false"/>
  <pageMargins left="0" right="0" top="0.394444444444445" bottom="0.394444444444445" header="0" footer="0"/>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legacyDrawing r:id="rId1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W145"/>
  <sheetViews>
    <sheetView showFormulas="false" showGridLines="true" showRowColHeaders="true" showZeros="true" rightToLeft="false" tabSelected="true" showOutlineSymbols="true" defaultGridColor="true" view="normal" topLeftCell="A1" colorId="64" zoomScale="70" zoomScaleNormal="70" zoomScalePageLayoutView="100" workbookViewId="0">
      <pane xSplit="0" ySplit="1" topLeftCell="A129" activePane="bottomLeft" state="frozen"/>
      <selection pane="topLeft" activeCell="A1" activeCellId="0" sqref="A1"/>
      <selection pane="bottomLeft" activeCell="E145" activeCellId="0" sqref="E145"/>
    </sheetView>
  </sheetViews>
  <sheetFormatPr defaultColWidth="8.69140625" defaultRowHeight="13.5" zeroHeight="false" outlineLevelRow="0" outlineLevelCol="0"/>
  <cols>
    <col collapsed="false" customWidth="true" hidden="false" outlineLevel="0" max="1" min="1" style="0" width="11.8"/>
    <col collapsed="false" customWidth="true" hidden="false" outlineLevel="0" max="2" min="2" style="24" width="18.29"/>
    <col collapsed="false" customWidth="true" hidden="false" outlineLevel="0" max="3" min="3" style="0" width="15"/>
    <col collapsed="false" customWidth="true" hidden="false" outlineLevel="0" max="4" min="4" style="0" width="16.1"/>
    <col collapsed="false" customWidth="true" hidden="false" outlineLevel="0" max="5" min="5" style="0" width="54.6"/>
    <col collapsed="false" customWidth="true" hidden="false" outlineLevel="0" max="6" min="6" style="0" width="20.8"/>
    <col collapsed="false" customWidth="true" hidden="false" outlineLevel="0" max="8" min="7" style="0" width="21"/>
    <col collapsed="false" customWidth="true" hidden="false" outlineLevel="0" max="12" min="9" style="0" width="20.2"/>
    <col collapsed="false" customWidth="true" hidden="false" outlineLevel="0" max="13" min="13" style="0" width="17.2"/>
    <col collapsed="false" customWidth="true" hidden="false" outlineLevel="0" max="14" min="14" style="0" width="23.7"/>
    <col collapsed="false" customWidth="true" hidden="false" outlineLevel="0" max="15" min="15" style="0" width="21.8"/>
    <col collapsed="false" customWidth="true" hidden="false" outlineLevel="0" max="16" min="16" style="1" width="23.2"/>
    <col collapsed="false" customWidth="true" hidden="false" outlineLevel="0" max="17" min="17" style="1" width="14.3"/>
    <col collapsed="false" customWidth="true" hidden="false" outlineLevel="0" max="18" min="18" style="0" width="26.8"/>
    <col collapsed="false" customWidth="true" hidden="false" outlineLevel="0" max="19" min="19" style="0" width="33.51"/>
    <col collapsed="false" customWidth="true" hidden="false" outlineLevel="0" max="20" min="20" style="0" width="42.2"/>
    <col collapsed="false" customWidth="false" hidden="false" outlineLevel="0" max="49" min="21" style="2" width="8.7"/>
  </cols>
  <sheetData>
    <row r="1" customFormat="false" ht="15" hidden="false" customHeight="false" outlineLevel="0" collapsed="false">
      <c r="A1" s="3" t="s">
        <v>0</v>
      </c>
      <c r="B1" s="5" t="s">
        <v>1</v>
      </c>
      <c r="C1" s="3" t="s">
        <v>2</v>
      </c>
      <c r="D1" s="3" t="s">
        <v>82</v>
      </c>
      <c r="E1" s="3" t="s">
        <v>83</v>
      </c>
      <c r="F1" s="3" t="s">
        <v>3</v>
      </c>
      <c r="G1" s="3" t="s">
        <v>4</v>
      </c>
      <c r="H1" s="3" t="s">
        <v>84</v>
      </c>
      <c r="I1" s="3" t="s">
        <v>7</v>
      </c>
      <c r="J1" s="3" t="s">
        <v>8</v>
      </c>
      <c r="K1" s="3" t="s">
        <v>85</v>
      </c>
      <c r="L1" s="3" t="s">
        <v>86</v>
      </c>
      <c r="M1" s="3" t="s">
        <v>10</v>
      </c>
      <c r="N1" s="3" t="s">
        <v>11</v>
      </c>
      <c r="O1" s="3" t="s">
        <v>12</v>
      </c>
      <c r="P1" s="4" t="s">
        <v>13</v>
      </c>
      <c r="Q1" s="4" t="s">
        <v>14</v>
      </c>
      <c r="R1" s="5" t="s">
        <v>15</v>
      </c>
      <c r="S1" s="3" t="s">
        <v>87</v>
      </c>
      <c r="T1" s="3"/>
    </row>
    <row r="2" s="10" customFormat="true" ht="54.75" hidden="false" customHeight="false" outlineLevel="0" collapsed="false">
      <c r="A2" s="25" t="s">
        <v>88</v>
      </c>
      <c r="B2" s="25" t="s">
        <v>89</v>
      </c>
      <c r="C2" s="25" t="s">
        <v>90</v>
      </c>
      <c r="D2" s="25" t="s">
        <v>91</v>
      </c>
      <c r="E2" s="25" t="s">
        <v>92</v>
      </c>
      <c r="F2" s="25" t="s">
        <v>93</v>
      </c>
      <c r="G2" s="25" t="s">
        <v>94</v>
      </c>
      <c r="H2" s="26" t="str">
        <f aca="false">CO_ORDINATES(G2)</f>
        <v>55.90155235,26.553693293183063</v>
      </c>
      <c r="I2" s="25" t="s">
        <v>94</v>
      </c>
      <c r="J2" s="26" t="str">
        <f aca="false">CO_ORDINATES(I2)</f>
        <v>55.90155235,26.553693293183063</v>
      </c>
      <c r="K2" s="25"/>
      <c r="L2" s="25"/>
      <c r="M2" s="25" t="s">
        <v>95</v>
      </c>
      <c r="N2" s="25" t="s">
        <v>96</v>
      </c>
      <c r="O2" s="27" t="s">
        <v>97</v>
      </c>
      <c r="P2" s="28" t="n">
        <v>128</v>
      </c>
      <c r="Q2" s="29" t="s">
        <v>98</v>
      </c>
      <c r="R2" s="25"/>
      <c r="S2" s="25"/>
      <c r="T2" s="25"/>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row>
    <row r="3" s="10" customFormat="true" ht="27" hidden="false" customHeight="false" outlineLevel="0" collapsed="false">
      <c r="A3" s="6" t="s">
        <v>99</v>
      </c>
      <c r="B3" s="6" t="s">
        <v>100</v>
      </c>
      <c r="C3" s="6" t="s">
        <v>101</v>
      </c>
      <c r="D3" s="6" t="s">
        <v>102</v>
      </c>
      <c r="E3" s="6" t="s">
        <v>102</v>
      </c>
      <c r="F3" s="6" t="s">
        <v>103</v>
      </c>
      <c r="G3" s="6" t="s">
        <v>104</v>
      </c>
      <c r="H3" s="30" t="str">
        <f aca="false">CO_ORDINATES(G3)</f>
        <v>55.8990065,26.5399396</v>
      </c>
      <c r="I3" s="6" t="s">
        <v>104</v>
      </c>
      <c r="J3" s="26" t="str">
        <f aca="false">CO_ORDINATES(I3)</f>
        <v>55.8990065,26.5399396</v>
      </c>
      <c r="K3" s="6"/>
      <c r="L3" s="6"/>
      <c r="M3" s="6" t="n">
        <v>27014080</v>
      </c>
      <c r="N3" s="6" t="s">
        <v>105</v>
      </c>
      <c r="O3" s="6" t="s">
        <v>106</v>
      </c>
      <c r="P3" s="13" t="n">
        <v>12</v>
      </c>
      <c r="Q3" s="13" t="s">
        <v>107</v>
      </c>
      <c r="R3" s="31"/>
      <c r="S3" s="6"/>
      <c r="T3" s="6"/>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row>
    <row r="4" s="14" customFormat="true" ht="69" hidden="false" customHeight="false" outlineLevel="0" collapsed="false">
      <c r="A4" s="6" t="s">
        <v>108</v>
      </c>
      <c r="B4" s="6" t="s">
        <v>109</v>
      </c>
      <c r="C4" s="6" t="s">
        <v>101</v>
      </c>
      <c r="D4" s="6" t="s">
        <v>102</v>
      </c>
      <c r="E4" s="6" t="s">
        <v>102</v>
      </c>
      <c r="F4" s="6" t="s">
        <v>110</v>
      </c>
      <c r="G4" s="6" t="s">
        <v>111</v>
      </c>
      <c r="H4" s="30" t="str">
        <f aca="false">CO_ORDINATES(G4)</f>
        <v>55.87652735,26.52171708495547</v>
      </c>
      <c r="I4" s="6" t="s">
        <v>111</v>
      </c>
      <c r="J4" s="26" t="str">
        <f aca="false">CO_ORDINATES(I4)</f>
        <v>55.87652735,26.52171708495547</v>
      </c>
      <c r="K4" s="6"/>
      <c r="L4" s="6"/>
      <c r="M4" s="6" t="s">
        <v>112</v>
      </c>
      <c r="N4" s="6" t="s">
        <v>113</v>
      </c>
      <c r="O4" s="6"/>
      <c r="P4" s="13" t="n">
        <v>9</v>
      </c>
      <c r="Q4" s="13" t="s">
        <v>114</v>
      </c>
      <c r="R4" s="6"/>
      <c r="S4" s="6"/>
      <c r="T4" s="6"/>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row>
    <row r="5" s="10" customFormat="true" ht="27" hidden="false" customHeight="false" outlineLevel="0" collapsed="false">
      <c r="A5" s="15" t="s">
        <v>108</v>
      </c>
      <c r="B5" s="15" t="s">
        <v>115</v>
      </c>
      <c r="C5" s="15" t="s">
        <v>101</v>
      </c>
      <c r="D5" s="15" t="s">
        <v>102</v>
      </c>
      <c r="E5" s="15" t="s">
        <v>102</v>
      </c>
      <c r="F5" s="15" t="s">
        <v>116</v>
      </c>
      <c r="G5" s="15" t="s">
        <v>117</v>
      </c>
      <c r="H5" s="32" t="str">
        <f aca="false">CO_ORDINATES(G5)</f>
        <v>55.9034026,26.5542381</v>
      </c>
      <c r="I5" s="15" t="s">
        <v>117</v>
      </c>
      <c r="J5" s="26" t="str">
        <f aca="false">CO_ORDINATES(I5)</f>
        <v>55.9034026,26.5542381</v>
      </c>
      <c r="K5" s="15"/>
      <c r="L5" s="15"/>
      <c r="M5" s="15" t="n">
        <v>22333305</v>
      </c>
      <c r="N5" s="15" t="s">
        <v>118</v>
      </c>
      <c r="O5" s="15" t="s">
        <v>119</v>
      </c>
      <c r="P5" s="13" t="n">
        <v>11</v>
      </c>
      <c r="Q5" s="13" t="s">
        <v>120</v>
      </c>
      <c r="R5" s="15"/>
      <c r="S5" s="15"/>
      <c r="T5" s="15"/>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row>
    <row r="6" s="34" customFormat="true" ht="27" hidden="false" customHeight="false" outlineLevel="0" collapsed="false">
      <c r="A6" s="6" t="s">
        <v>108</v>
      </c>
      <c r="B6" s="6" t="s">
        <v>121</v>
      </c>
      <c r="C6" s="6" t="s">
        <v>101</v>
      </c>
      <c r="D6" s="6"/>
      <c r="E6" s="6"/>
      <c r="F6" s="6" t="s">
        <v>122</v>
      </c>
      <c r="G6" s="6" t="s">
        <v>123</v>
      </c>
      <c r="H6" s="30" t="str">
        <f aca="false">CO_ORDINATES(G6)</f>
        <v>55.9044256,26.5107832</v>
      </c>
      <c r="I6" s="6" t="s">
        <v>124</v>
      </c>
      <c r="J6" s="26" t="str">
        <f aca="false">CO_ORDINATES(I6)</f>
        <v>55.8943749,26.541126186586304</v>
      </c>
      <c r="K6" s="6"/>
      <c r="L6" s="6"/>
      <c r="M6" s="6" t="s">
        <v>125</v>
      </c>
      <c r="N6" s="6" t="s">
        <v>126</v>
      </c>
      <c r="O6" s="6"/>
      <c r="P6" s="13" t="n">
        <v>8</v>
      </c>
      <c r="Q6" s="13" t="s">
        <v>127</v>
      </c>
      <c r="R6" s="6"/>
      <c r="S6" s="6"/>
      <c r="T6" s="6"/>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row>
    <row r="7" s="34" customFormat="true" ht="41.25" hidden="false" customHeight="true" outlineLevel="0" collapsed="false">
      <c r="A7" s="6" t="s">
        <v>99</v>
      </c>
      <c r="B7" s="7" t="s">
        <v>128</v>
      </c>
      <c r="C7" s="6" t="s">
        <v>129</v>
      </c>
      <c r="D7" s="6"/>
      <c r="E7" s="6"/>
      <c r="F7" s="7" t="s">
        <v>130</v>
      </c>
      <c r="G7" s="7" t="s">
        <v>131</v>
      </c>
      <c r="H7" s="30" t="str">
        <f aca="false">CO_ORDINATES(G7)</f>
        <v>55.88718075,26.524844649999984</v>
      </c>
      <c r="I7" s="7" t="s">
        <v>131</v>
      </c>
      <c r="J7" s="26" t="str">
        <f aca="false">CO_ORDINATES(I7)</f>
        <v>55.88718075,26.524844649999984</v>
      </c>
      <c r="K7" s="7"/>
      <c r="L7" s="7"/>
      <c r="M7" s="7" t="s">
        <v>132</v>
      </c>
      <c r="N7" s="7" t="s">
        <v>133</v>
      </c>
      <c r="O7" s="7" t="s">
        <v>134</v>
      </c>
      <c r="P7" s="8" t="n">
        <v>23</v>
      </c>
      <c r="Q7" s="8" t="s">
        <v>135</v>
      </c>
      <c r="R7" s="7"/>
      <c r="S7" s="7"/>
      <c r="T7" s="7"/>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row>
    <row r="8" s="10" customFormat="true" ht="41.25" hidden="false" customHeight="false" outlineLevel="0" collapsed="false">
      <c r="A8" s="6" t="s">
        <v>108</v>
      </c>
      <c r="B8" s="7" t="s">
        <v>136</v>
      </c>
      <c r="C8" s="6" t="s">
        <v>129</v>
      </c>
      <c r="D8" s="6"/>
      <c r="E8" s="6"/>
      <c r="F8" s="7" t="s">
        <v>137</v>
      </c>
      <c r="G8" s="7" t="s">
        <v>138</v>
      </c>
      <c r="H8" s="30" t="str">
        <f aca="false">CO_ORDINATES(G8)</f>
        <v>55.8783779,26.5064576</v>
      </c>
      <c r="I8" s="7" t="s">
        <v>139</v>
      </c>
      <c r="J8" s="26" t="str">
        <f aca="false">CO_ORDINATES(I8)</f>
        <v>55.8783779,26.5064576</v>
      </c>
      <c r="K8" s="7"/>
      <c r="L8" s="7"/>
      <c r="M8" s="7" t="s">
        <v>140</v>
      </c>
      <c r="N8" s="7" t="s">
        <v>141</v>
      </c>
      <c r="O8" s="7" t="s">
        <v>142</v>
      </c>
      <c r="P8" s="8" t="n">
        <v>8</v>
      </c>
      <c r="Q8" s="8" t="s">
        <v>143</v>
      </c>
      <c r="R8" s="7"/>
      <c r="S8" s="7"/>
      <c r="T8" s="7"/>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row>
    <row r="9" s="10" customFormat="true" ht="27" hidden="false" customHeight="false" outlineLevel="0" collapsed="false">
      <c r="A9" s="15" t="s">
        <v>108</v>
      </c>
      <c r="B9" s="16" t="s">
        <v>144</v>
      </c>
      <c r="C9" s="16" t="s">
        <v>129</v>
      </c>
      <c r="D9" s="15"/>
      <c r="E9" s="15"/>
      <c r="F9" s="16" t="s">
        <v>145</v>
      </c>
      <c r="G9" s="16" t="s">
        <v>146</v>
      </c>
      <c r="H9" s="32" t="str">
        <f aca="false">CO_ORDINATES(G9)</f>
        <v>55.8716291,26.5217332</v>
      </c>
      <c r="I9" s="16" t="s">
        <v>147</v>
      </c>
      <c r="J9" s="26" t="str">
        <f aca="false">CO_ORDINATES(I9)</f>
        <v>55.8716291,26.5217332</v>
      </c>
      <c r="K9" s="16"/>
      <c r="L9" s="16"/>
      <c r="M9" s="16" t="s">
        <v>148</v>
      </c>
      <c r="N9" s="16" t="s">
        <v>149</v>
      </c>
      <c r="O9" s="16" t="s">
        <v>150</v>
      </c>
      <c r="P9" s="8" t="n">
        <v>3</v>
      </c>
      <c r="Q9" s="8"/>
      <c r="R9" s="16"/>
      <c r="S9" s="16"/>
      <c r="T9" s="16"/>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row>
    <row r="10" s="10" customFormat="true" ht="69" hidden="false" customHeight="false" outlineLevel="0" collapsed="false">
      <c r="A10" s="15" t="s">
        <v>108</v>
      </c>
      <c r="B10" s="16" t="s">
        <v>151</v>
      </c>
      <c r="C10" s="16" t="s">
        <v>90</v>
      </c>
      <c r="D10" s="16" t="s">
        <v>152</v>
      </c>
      <c r="E10" s="16" t="s">
        <v>152</v>
      </c>
      <c r="F10" s="16" t="s">
        <v>153</v>
      </c>
      <c r="G10" s="16" t="s">
        <v>154</v>
      </c>
      <c r="H10" s="32" t="str">
        <f aca="false">CO_ORDINATES(G10)</f>
        <v>55.8729572,26.583334132218432</v>
      </c>
      <c r="I10" s="16" t="s">
        <v>154</v>
      </c>
      <c r="J10" s="26" t="str">
        <f aca="false">CO_ORDINATES(I10)</f>
        <v>55.8729572,26.583334132218432</v>
      </c>
      <c r="K10" s="16"/>
      <c r="L10" s="16"/>
      <c r="M10" s="35" t="n">
        <v>65433650</v>
      </c>
      <c r="N10" s="16" t="s">
        <v>155</v>
      </c>
      <c r="O10" s="16"/>
      <c r="P10" s="8" t="n">
        <v>20</v>
      </c>
      <c r="Q10" s="8" t="s">
        <v>156</v>
      </c>
      <c r="R10" s="16"/>
      <c r="S10" s="16"/>
      <c r="T10" s="16" t="s">
        <v>157</v>
      </c>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row>
    <row r="11" s="10" customFormat="true" ht="270.75" hidden="false" customHeight="true" outlineLevel="0" collapsed="false">
      <c r="A11" s="6" t="s">
        <v>99</v>
      </c>
      <c r="B11" s="6" t="s">
        <v>67</v>
      </c>
      <c r="C11" s="7" t="s">
        <v>158</v>
      </c>
      <c r="D11" s="6" t="s">
        <v>159</v>
      </c>
      <c r="E11" s="6" t="s">
        <v>159</v>
      </c>
      <c r="F11" s="6" t="s">
        <v>69</v>
      </c>
      <c r="G11" s="6" t="s">
        <v>70</v>
      </c>
      <c r="H11" s="30" t="str">
        <f aca="false">CO_ORDINATES(G11)</f>
        <v>55.88890725,26.516736204695874</v>
      </c>
      <c r="I11" s="6" t="s">
        <v>70</v>
      </c>
      <c r="J11" s="36" t="str">
        <f aca="false">CO_ORDINATES(I11)</f>
        <v>55.88890725,26.516736204695874</v>
      </c>
      <c r="K11" s="6"/>
      <c r="L11" s="6"/>
      <c r="M11" s="6" t="s">
        <v>71</v>
      </c>
      <c r="N11" s="6" t="s">
        <v>72</v>
      </c>
      <c r="O11" s="6" t="s">
        <v>73</v>
      </c>
      <c r="P11" s="13" t="n">
        <v>198</v>
      </c>
      <c r="Q11" s="13" t="s">
        <v>74</v>
      </c>
      <c r="R11" s="6"/>
      <c r="S11" s="6"/>
      <c r="T11" s="6"/>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row>
    <row r="12" s="23" customFormat="true" ht="110.25" hidden="false" customHeight="false" outlineLevel="0" collapsed="false">
      <c r="A12" s="6" t="s">
        <v>99</v>
      </c>
      <c r="B12" s="7" t="s">
        <v>75</v>
      </c>
      <c r="C12" s="7" t="s">
        <v>129</v>
      </c>
      <c r="D12" s="7" t="s">
        <v>160</v>
      </c>
      <c r="E12" s="7" t="s">
        <v>160</v>
      </c>
      <c r="F12" s="7" t="s">
        <v>69</v>
      </c>
      <c r="G12" s="7" t="s">
        <v>76</v>
      </c>
      <c r="H12" s="30" t="str">
        <f aca="false">CO_ORDINATES(G12)</f>
        <v>55.880778750000005,26.55507251974601</v>
      </c>
      <c r="I12" s="7" t="s">
        <v>77</v>
      </c>
      <c r="J12" s="36" t="str">
        <f aca="false">CO_ORDINATES(I12)</f>
        <v>55.880778750000005,26.55507251974601</v>
      </c>
      <c r="K12" s="7"/>
      <c r="L12" s="7"/>
      <c r="M12" s="7" t="s">
        <v>78</v>
      </c>
      <c r="N12" s="7" t="s">
        <v>79</v>
      </c>
      <c r="O12" s="37" t="s">
        <v>80</v>
      </c>
      <c r="P12" s="8" t="n">
        <v>557</v>
      </c>
      <c r="Q12" s="8" t="s">
        <v>81</v>
      </c>
      <c r="R12" s="6"/>
      <c r="S12" s="7"/>
      <c r="T12" s="7"/>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row>
    <row r="13" customFormat="false" ht="330.75" hidden="false" customHeight="false" outlineLevel="0" collapsed="false">
      <c r="A13" s="38" t="s">
        <v>108</v>
      </c>
      <c r="B13" s="39" t="s">
        <v>161</v>
      </c>
      <c r="C13" s="39" t="s">
        <v>162</v>
      </c>
      <c r="D13" s="31" t="s">
        <v>163</v>
      </c>
      <c r="E13" s="31" t="s">
        <v>163</v>
      </c>
      <c r="F13" s="31" t="s">
        <v>164</v>
      </c>
      <c r="G13" s="31" t="s">
        <v>165</v>
      </c>
      <c r="H13" s="30" t="str">
        <f aca="false">CO_ORDINATES(G13)</f>
        <v>55.869646,26.5297595</v>
      </c>
      <c r="I13" s="31" t="s">
        <v>165</v>
      </c>
      <c r="J13" s="36" t="str">
        <f aca="false">CO_ORDINATES(I13)</f>
        <v>55.869646,26.5297595</v>
      </c>
      <c r="K13" s="31"/>
      <c r="L13" s="31"/>
      <c r="M13" s="38" t="s">
        <v>166</v>
      </c>
      <c r="N13" s="38"/>
      <c r="O13" s="38"/>
      <c r="P13" s="40"/>
      <c r="Q13" s="40"/>
      <c r="R13" s="31"/>
      <c r="S13" s="31"/>
      <c r="T13" s="31"/>
    </row>
    <row r="14" customFormat="false" ht="96" hidden="false" customHeight="false" outlineLevel="0" collapsed="false">
      <c r="A14" s="25" t="s">
        <v>88</v>
      </c>
      <c r="B14" s="25" t="s">
        <v>167</v>
      </c>
      <c r="C14" s="25" t="s">
        <v>168</v>
      </c>
      <c r="D14" s="25" t="s">
        <v>169</v>
      </c>
      <c r="E14" s="25" t="s">
        <v>169</v>
      </c>
      <c r="F14" s="25" t="s">
        <v>170</v>
      </c>
      <c r="G14" s="25" t="s">
        <v>171</v>
      </c>
      <c r="H14" s="41" t="e">
        <f aca="false">CO_ORDINATES(G14)</f>
        <v>#VALUE!</v>
      </c>
      <c r="I14" s="25" t="s">
        <v>171</v>
      </c>
      <c r="J14" s="42" t="e">
        <f aca="false">CO_ORDINATES(I14)</f>
        <v>#VALUE!</v>
      </c>
      <c r="K14" s="25"/>
      <c r="L14" s="25"/>
      <c r="M14" s="25" t="s">
        <v>172</v>
      </c>
      <c r="N14" s="25"/>
      <c r="O14" s="25"/>
      <c r="P14" s="29"/>
      <c r="Q14" s="29"/>
      <c r="R14" s="25"/>
      <c r="S14" s="25"/>
      <c r="T14" s="25"/>
    </row>
    <row r="15" customFormat="false" ht="54.75" hidden="false" customHeight="false" outlineLevel="0" collapsed="false">
      <c r="A15" s="25" t="s">
        <v>88</v>
      </c>
      <c r="B15" s="25" t="s">
        <v>173</v>
      </c>
      <c r="C15" s="25" t="s">
        <v>162</v>
      </c>
      <c r="D15" s="25" t="s">
        <v>174</v>
      </c>
      <c r="E15" s="25" t="s">
        <v>175</v>
      </c>
      <c r="F15" s="25" t="s">
        <v>176</v>
      </c>
      <c r="G15" s="25" t="s">
        <v>177</v>
      </c>
      <c r="H15" s="41" t="e">
        <f aca="false">CO_ORDINATES(G15)</f>
        <v>#VALUE!</v>
      </c>
      <c r="I15" s="25" t="s">
        <v>177</v>
      </c>
      <c r="J15" s="42" t="e">
        <f aca="false">CO_ORDINATES(I15)</f>
        <v>#VALUE!</v>
      </c>
      <c r="K15" s="25"/>
      <c r="L15" s="25"/>
      <c r="M15" s="25" t="s">
        <v>178</v>
      </c>
      <c r="N15" s="25"/>
      <c r="O15" s="25"/>
      <c r="P15" s="29"/>
      <c r="Q15" s="29"/>
      <c r="R15" s="25"/>
      <c r="S15" s="25"/>
      <c r="T15" s="25"/>
    </row>
    <row r="16" customFormat="false" ht="162" hidden="false" customHeight="true" outlineLevel="0" collapsed="false">
      <c r="A16" s="7" t="s">
        <v>99</v>
      </c>
      <c r="B16" s="7" t="s">
        <v>179</v>
      </c>
      <c r="C16" s="7" t="s">
        <v>162</v>
      </c>
      <c r="D16" s="7" t="s">
        <v>180</v>
      </c>
      <c r="E16" s="7" t="s">
        <v>180</v>
      </c>
      <c r="F16" s="7" t="s">
        <v>181</v>
      </c>
      <c r="G16" s="7" t="s">
        <v>182</v>
      </c>
      <c r="H16" s="30" t="str">
        <f aca="false">CO_ORDINATES(G16)</f>
        <v>55.895417,26.4901709</v>
      </c>
      <c r="I16" s="7" t="s">
        <v>182</v>
      </c>
      <c r="J16" s="36" t="str">
        <f aca="false">CO_ORDINATES(I16)</f>
        <v>55.895417,26.4901709</v>
      </c>
      <c r="K16" s="7"/>
      <c r="L16" s="7"/>
      <c r="M16" s="7" t="s">
        <v>183</v>
      </c>
      <c r="N16" s="7" t="s">
        <v>184</v>
      </c>
      <c r="O16" s="7"/>
      <c r="P16" s="43"/>
      <c r="Q16" s="43"/>
      <c r="R16" s="7"/>
      <c r="S16" s="7"/>
      <c r="T16" s="7"/>
    </row>
    <row r="17" customFormat="false" ht="152.25" hidden="false" customHeight="true" outlineLevel="0" collapsed="false">
      <c r="A17" s="15" t="s">
        <v>108</v>
      </c>
      <c r="B17" s="15" t="s">
        <v>185</v>
      </c>
      <c r="C17" s="15" t="s">
        <v>162</v>
      </c>
      <c r="D17" s="15" t="s">
        <v>186</v>
      </c>
      <c r="E17" s="15" t="s">
        <v>186</v>
      </c>
      <c r="F17" s="15" t="s">
        <v>187</v>
      </c>
      <c r="G17" s="15" t="s">
        <v>188</v>
      </c>
      <c r="H17" s="32" t="str">
        <f aca="false">CO_ORDINATES(G17)</f>
        <v>55.9044773,26.4947186</v>
      </c>
      <c r="I17" s="15" t="s">
        <v>188</v>
      </c>
      <c r="J17" s="36" t="str">
        <f aca="false">CO_ORDINATES(I17)</f>
        <v>55.9044773,26.4947186</v>
      </c>
      <c r="K17" s="15"/>
      <c r="L17" s="15"/>
      <c r="M17" s="15" t="s">
        <v>189</v>
      </c>
      <c r="N17" s="15"/>
      <c r="O17" s="15"/>
      <c r="P17" s="44"/>
      <c r="Q17" s="44"/>
      <c r="R17" s="15"/>
      <c r="S17" s="15"/>
      <c r="T17" s="15"/>
    </row>
    <row r="18" customFormat="false" ht="41.25" hidden="false" customHeight="false" outlineLevel="0" collapsed="false">
      <c r="A18" s="15" t="s">
        <v>108</v>
      </c>
      <c r="B18" s="15" t="s">
        <v>190</v>
      </c>
      <c r="C18" s="15" t="s">
        <v>162</v>
      </c>
      <c r="D18" s="15" t="s">
        <v>102</v>
      </c>
      <c r="E18" s="15" t="s">
        <v>102</v>
      </c>
      <c r="F18" s="15" t="s">
        <v>191</v>
      </c>
      <c r="G18" s="15" t="s">
        <v>192</v>
      </c>
      <c r="H18" s="32" t="str">
        <f aca="false">CO_ORDINATES(G18)</f>
        <v>55.86900205,26.564777401186348</v>
      </c>
      <c r="I18" s="15" t="s">
        <v>192</v>
      </c>
      <c r="J18" s="36" t="str">
        <f aca="false">CO_ORDINATES(I18)</f>
        <v>55.86900205,26.564777401186348</v>
      </c>
      <c r="K18" s="15"/>
      <c r="L18" s="15"/>
      <c r="M18" s="45" t="n">
        <v>26526444</v>
      </c>
      <c r="N18" s="15"/>
      <c r="O18" s="15"/>
      <c r="P18" s="44"/>
      <c r="Q18" s="44"/>
      <c r="R18" s="15"/>
      <c r="S18" s="15"/>
      <c r="T18" s="15"/>
    </row>
    <row r="19" customFormat="false" ht="27" hidden="false" customHeight="false" outlineLevel="0" collapsed="false">
      <c r="A19" s="46"/>
      <c r="B19" s="47" t="s">
        <v>193</v>
      </c>
      <c r="C19" s="48" t="s">
        <v>90</v>
      </c>
      <c r="D19" s="46"/>
      <c r="E19" s="46" t="s">
        <v>194</v>
      </c>
      <c r="F19" s="46"/>
      <c r="G19" s="47" t="s">
        <v>195</v>
      </c>
      <c r="H19" s="49" t="str">
        <f aca="false">CO_ORDINATES(G19)</f>
        <v>55.8706805,26.5400209</v>
      </c>
      <c r="I19" s="47" t="s">
        <v>195</v>
      </c>
      <c r="J19" s="50" t="str">
        <f aca="false">CO_ORDINATES(I19)</f>
        <v>55.8706805,26.5400209</v>
      </c>
      <c r="K19" s="47"/>
      <c r="L19" s="47"/>
      <c r="M19" s="46"/>
      <c r="N19" s="46"/>
      <c r="O19" s="46"/>
      <c r="P19" s="40"/>
      <c r="Q19" s="40"/>
      <c r="R19" s="46"/>
      <c r="S19" s="46"/>
      <c r="T19" s="46"/>
    </row>
    <row r="20" customFormat="false" ht="54.75" hidden="false" customHeight="false" outlineLevel="0" collapsed="false">
      <c r="A20" s="46"/>
      <c r="B20" s="47" t="s">
        <v>196</v>
      </c>
      <c r="C20" s="48" t="s">
        <v>90</v>
      </c>
      <c r="D20" s="46"/>
      <c r="E20" s="46" t="s">
        <v>197</v>
      </c>
      <c r="F20" s="46"/>
      <c r="G20" s="47" t="s">
        <v>198</v>
      </c>
      <c r="H20" s="51" t="e">
        <f aca="false">CO_ORDINATES(G20)</f>
        <v>#VALUE!</v>
      </c>
      <c r="I20" s="47" t="s">
        <v>198</v>
      </c>
      <c r="J20" s="52" t="e">
        <f aca="false">CO_ORDINATES(I20)</f>
        <v>#VALUE!</v>
      </c>
      <c r="K20" s="47"/>
      <c r="L20" s="47"/>
      <c r="M20" s="46"/>
      <c r="N20" s="46"/>
      <c r="O20" s="46"/>
      <c r="P20" s="40"/>
      <c r="Q20" s="40"/>
      <c r="R20" s="46"/>
      <c r="S20" s="46"/>
      <c r="T20" s="46"/>
    </row>
    <row r="21" customFormat="false" ht="41.25" hidden="false" customHeight="false" outlineLevel="0" collapsed="false">
      <c r="A21" s="46"/>
      <c r="B21" s="47" t="s">
        <v>199</v>
      </c>
      <c r="C21" s="48" t="s">
        <v>90</v>
      </c>
      <c r="D21" s="46"/>
      <c r="E21" s="46" t="s">
        <v>200</v>
      </c>
      <c r="F21" s="46"/>
      <c r="G21" s="47" t="s">
        <v>201</v>
      </c>
      <c r="H21" s="49" t="str">
        <f aca="false">CO_ORDINATES(G21)</f>
        <v>55.8713321,26.5426743</v>
      </c>
      <c r="I21" s="47" t="s">
        <v>201</v>
      </c>
      <c r="J21" s="50" t="str">
        <f aca="false">CO_ORDINATES(I21)</f>
        <v>55.8713321,26.5426743</v>
      </c>
      <c r="K21" s="47"/>
      <c r="L21" s="47"/>
      <c r="M21" s="46"/>
      <c r="N21" s="46"/>
      <c r="O21" s="46"/>
      <c r="P21" s="40"/>
      <c r="Q21" s="40"/>
      <c r="R21" s="46"/>
      <c r="S21" s="46"/>
      <c r="T21" s="46"/>
    </row>
    <row r="22" customFormat="false" ht="41.25" hidden="false" customHeight="false" outlineLevel="0" collapsed="false">
      <c r="A22" s="46"/>
      <c r="B22" s="47" t="s">
        <v>202</v>
      </c>
      <c r="C22" s="48" t="s">
        <v>90</v>
      </c>
      <c r="D22" s="46"/>
      <c r="E22" s="46" t="s">
        <v>203</v>
      </c>
      <c r="F22" s="46"/>
      <c r="G22" s="47" t="s">
        <v>204</v>
      </c>
      <c r="H22" s="51" t="e">
        <f aca="false">CO_ORDINATES(G22)</f>
        <v>#VALUE!</v>
      </c>
      <c r="I22" s="47" t="s">
        <v>204</v>
      </c>
      <c r="J22" s="52" t="e">
        <f aca="false">CO_ORDINATES(I22)</f>
        <v>#VALUE!</v>
      </c>
      <c r="K22" s="47"/>
      <c r="L22" s="47"/>
      <c r="M22" s="46"/>
      <c r="N22" s="46"/>
      <c r="O22" s="46"/>
      <c r="P22" s="40"/>
      <c r="Q22" s="40"/>
      <c r="R22" s="46"/>
      <c r="S22" s="46"/>
      <c r="T22" s="46"/>
    </row>
    <row r="23" customFormat="false" ht="27" hidden="false" customHeight="false" outlineLevel="0" collapsed="false">
      <c r="A23" s="46"/>
      <c r="B23" s="47" t="s">
        <v>205</v>
      </c>
      <c r="C23" s="48" t="s">
        <v>90</v>
      </c>
      <c r="D23" s="46"/>
      <c r="E23" s="46" t="s">
        <v>206</v>
      </c>
      <c r="F23" s="46"/>
      <c r="G23" s="47" t="s">
        <v>207</v>
      </c>
      <c r="H23" s="49" t="str">
        <f aca="false">CO_ORDINATES(G23)</f>
        <v>55.8816163,26.5500564</v>
      </c>
      <c r="I23" s="47" t="s">
        <v>207</v>
      </c>
      <c r="J23" s="50" t="str">
        <f aca="false">CO_ORDINATES(I23)</f>
        <v>55.8816163,26.5500564</v>
      </c>
      <c r="K23" s="47"/>
      <c r="L23" s="47"/>
      <c r="M23" s="46"/>
      <c r="N23" s="46"/>
      <c r="O23" s="46"/>
      <c r="P23" s="40"/>
      <c r="Q23" s="40"/>
      <c r="R23" s="46"/>
      <c r="S23" s="46"/>
      <c r="T23" s="46"/>
    </row>
    <row r="24" customFormat="false" ht="41.25" hidden="false" customHeight="false" outlineLevel="0" collapsed="false">
      <c r="A24" s="46"/>
      <c r="B24" s="47" t="s">
        <v>208</v>
      </c>
      <c r="C24" s="48" t="s">
        <v>90</v>
      </c>
      <c r="D24" s="46"/>
      <c r="E24" s="46" t="s">
        <v>200</v>
      </c>
      <c r="F24" s="46"/>
      <c r="G24" s="47" t="s">
        <v>209</v>
      </c>
      <c r="H24" s="49" t="str">
        <f aca="false">CO_ORDINATES(G24)</f>
        <v>55.8908965,26.6861753</v>
      </c>
      <c r="I24" s="47" t="s">
        <v>209</v>
      </c>
      <c r="J24" s="50" t="str">
        <f aca="false">CO_ORDINATES(I24)</f>
        <v>55.8908965,26.6861753</v>
      </c>
      <c r="K24" s="47"/>
      <c r="L24" s="47"/>
      <c r="M24" s="46"/>
      <c r="N24" s="46"/>
      <c r="O24" s="46"/>
      <c r="P24" s="40"/>
      <c r="Q24" s="40"/>
      <c r="R24" s="46"/>
      <c r="S24" s="46"/>
      <c r="T24" s="46"/>
    </row>
    <row r="25" customFormat="false" ht="54.75" hidden="false" customHeight="false" outlineLevel="0" collapsed="false">
      <c r="A25" s="46" t="s">
        <v>99</v>
      </c>
      <c r="B25" s="47" t="s">
        <v>210</v>
      </c>
      <c r="C25" s="48" t="s">
        <v>90</v>
      </c>
      <c r="D25" s="46"/>
      <c r="E25" s="46" t="s">
        <v>211</v>
      </c>
      <c r="F25" s="46"/>
      <c r="G25" s="47" t="s">
        <v>212</v>
      </c>
      <c r="H25" s="49" t="str">
        <f aca="false">CO_ORDINATES(G25)</f>
        <v>55.896470949999994,26.533079891406572</v>
      </c>
      <c r="I25" s="47" t="s">
        <v>212</v>
      </c>
      <c r="J25" s="50" t="str">
        <f aca="false">CO_ORDINATES(I25)</f>
        <v>55.896470949999994,26.533079891406572</v>
      </c>
      <c r="K25" s="47"/>
      <c r="L25" s="47"/>
      <c r="M25" s="46"/>
      <c r="N25" s="46"/>
      <c r="O25" s="46"/>
      <c r="P25" s="40"/>
      <c r="Q25" s="40"/>
      <c r="R25" s="46"/>
      <c r="S25" s="46"/>
      <c r="T25" s="46"/>
    </row>
    <row r="26" customFormat="false" ht="54.75" hidden="false" customHeight="false" outlineLevel="0" collapsed="false">
      <c r="A26" s="46"/>
      <c r="B26" s="47" t="s">
        <v>213</v>
      </c>
      <c r="C26" s="48" t="s">
        <v>90</v>
      </c>
      <c r="D26" s="46"/>
      <c r="E26" s="46" t="s">
        <v>214</v>
      </c>
      <c r="F26" s="46"/>
      <c r="G26" s="47" t="s">
        <v>215</v>
      </c>
      <c r="H26" s="49" t="str">
        <f aca="false">CO_ORDINATES(G26)</f>
        <v>55.8196292,26.4723689</v>
      </c>
      <c r="I26" s="47" t="s">
        <v>215</v>
      </c>
      <c r="J26" s="50" t="str">
        <f aca="false">CO_ORDINATES(I26)</f>
        <v>55.8196292,26.4723689</v>
      </c>
      <c r="K26" s="47"/>
      <c r="L26" s="47"/>
      <c r="M26" s="46"/>
      <c r="N26" s="46"/>
      <c r="O26" s="46"/>
      <c r="P26" s="40"/>
      <c r="Q26" s="40"/>
      <c r="R26" s="46"/>
      <c r="S26" s="46"/>
      <c r="T26" s="46"/>
    </row>
    <row r="27" customFormat="false" ht="41.25" hidden="false" customHeight="false" outlineLevel="0" collapsed="false">
      <c r="A27" s="46"/>
      <c r="B27" s="47" t="s">
        <v>216</v>
      </c>
      <c r="C27" s="48" t="s">
        <v>90</v>
      </c>
      <c r="D27" s="46"/>
      <c r="E27" s="46" t="s">
        <v>217</v>
      </c>
      <c r="F27" s="46"/>
      <c r="G27" s="47" t="s">
        <v>218</v>
      </c>
      <c r="H27" s="49" t="str">
        <f aca="false">CO_ORDINATES(G27)</f>
        <v>55.8747674,26.549251</v>
      </c>
      <c r="I27" s="47" t="s">
        <v>218</v>
      </c>
      <c r="J27" s="50" t="str">
        <f aca="false">CO_ORDINATES(I27)</f>
        <v>55.8747674,26.549251</v>
      </c>
      <c r="K27" s="47"/>
      <c r="L27" s="47"/>
      <c r="M27" s="46"/>
      <c r="N27" s="46"/>
      <c r="O27" s="46"/>
      <c r="P27" s="40"/>
      <c r="Q27" s="40"/>
      <c r="R27" s="46"/>
      <c r="S27" s="46"/>
      <c r="T27" s="46"/>
    </row>
    <row r="28" customFormat="false" ht="27" hidden="false" customHeight="false" outlineLevel="0" collapsed="false">
      <c r="A28" s="46"/>
      <c r="B28" s="47" t="s">
        <v>219</v>
      </c>
      <c r="C28" s="48" t="s">
        <v>90</v>
      </c>
      <c r="D28" s="46"/>
      <c r="E28" s="46" t="s">
        <v>200</v>
      </c>
      <c r="F28" s="46"/>
      <c r="G28" s="47" t="s">
        <v>220</v>
      </c>
      <c r="H28" s="51" t="e">
        <f aca="false">CO_ORDINATES(G28)</f>
        <v>#VALUE!</v>
      </c>
      <c r="I28" s="47" t="s">
        <v>220</v>
      </c>
      <c r="J28" s="52" t="e">
        <f aca="false">CO_ORDINATES(I28)</f>
        <v>#VALUE!</v>
      </c>
      <c r="K28" s="47"/>
      <c r="L28" s="47"/>
      <c r="M28" s="46"/>
      <c r="N28" s="46"/>
      <c r="O28" s="46"/>
      <c r="P28" s="40"/>
      <c r="Q28" s="40"/>
      <c r="R28" s="46"/>
      <c r="S28" s="46"/>
      <c r="T28" s="46"/>
    </row>
    <row r="29" customFormat="false" ht="54.75" hidden="false" customHeight="false" outlineLevel="0" collapsed="false">
      <c r="A29" s="46"/>
      <c r="B29" s="47" t="s">
        <v>221</v>
      </c>
      <c r="C29" s="48" t="s">
        <v>90</v>
      </c>
      <c r="D29" s="46"/>
      <c r="E29" s="46" t="s">
        <v>222</v>
      </c>
      <c r="F29" s="46"/>
      <c r="G29" s="47" t="s">
        <v>223</v>
      </c>
      <c r="H29" s="51" t="e">
        <f aca="false">CO_ORDINATES(G29)</f>
        <v>#VALUE!</v>
      </c>
      <c r="I29" s="47" t="s">
        <v>224</v>
      </c>
      <c r="J29" s="52" t="e">
        <f aca="false">CO_ORDINATES(I29)</f>
        <v>#VALUE!</v>
      </c>
      <c r="K29" s="47"/>
      <c r="L29" s="47"/>
      <c r="M29" s="46"/>
      <c r="N29" s="46"/>
      <c r="O29" s="46"/>
      <c r="P29" s="40"/>
      <c r="Q29" s="40"/>
      <c r="R29" s="46"/>
      <c r="S29" s="46"/>
      <c r="T29" s="46"/>
    </row>
    <row r="30" customFormat="false" ht="41.25" hidden="false" customHeight="false" outlineLevel="0" collapsed="false">
      <c r="A30" s="46"/>
      <c r="B30" s="47" t="s">
        <v>225</v>
      </c>
      <c r="C30" s="48" t="s">
        <v>90</v>
      </c>
      <c r="D30" s="46"/>
      <c r="E30" s="46" t="s">
        <v>226</v>
      </c>
      <c r="F30" s="46"/>
      <c r="G30" s="47" t="s">
        <v>227</v>
      </c>
      <c r="H30" s="49" t="str">
        <f aca="false">CO_ORDINATES(G30)</f>
        <v>55.8756042,26.5479577</v>
      </c>
      <c r="I30" s="47" t="s">
        <v>227</v>
      </c>
      <c r="J30" s="50" t="str">
        <f aca="false">CO_ORDINATES(I30)</f>
        <v>55.8756042,26.5479577</v>
      </c>
      <c r="K30" s="47"/>
      <c r="L30" s="47"/>
      <c r="M30" s="46"/>
      <c r="N30" s="46"/>
      <c r="O30" s="46"/>
      <c r="P30" s="40"/>
      <c r="Q30" s="40"/>
      <c r="R30" s="46"/>
      <c r="S30" s="46"/>
      <c r="T30" s="46"/>
    </row>
    <row r="31" customFormat="false" ht="27" hidden="false" customHeight="false" outlineLevel="0" collapsed="false">
      <c r="A31" s="46"/>
      <c r="B31" s="47" t="s">
        <v>228</v>
      </c>
      <c r="C31" s="48" t="s">
        <v>90</v>
      </c>
      <c r="D31" s="46"/>
      <c r="E31" s="46" t="s">
        <v>229</v>
      </c>
      <c r="F31" s="46"/>
      <c r="G31" s="47" t="s">
        <v>230</v>
      </c>
      <c r="H31" s="49" t="str">
        <f aca="false">CO_ORDINATES(G31)</f>
        <v>55.87519315,26.54601620549517</v>
      </c>
      <c r="I31" s="47" t="s">
        <v>230</v>
      </c>
      <c r="J31" s="50" t="str">
        <f aca="false">CO_ORDINATES(I31)</f>
        <v>55.87519315,26.54601620549517</v>
      </c>
      <c r="K31" s="47"/>
      <c r="L31" s="47"/>
      <c r="M31" s="46"/>
      <c r="N31" s="46"/>
      <c r="O31" s="46"/>
      <c r="P31" s="40"/>
      <c r="Q31" s="40"/>
      <c r="R31" s="46"/>
      <c r="S31" s="46"/>
      <c r="T31" s="46"/>
    </row>
    <row r="32" customFormat="false" ht="27" hidden="false" customHeight="false" outlineLevel="0" collapsed="false">
      <c r="A32" s="46"/>
      <c r="B32" s="47" t="s">
        <v>231</v>
      </c>
      <c r="C32" s="48" t="s">
        <v>90</v>
      </c>
      <c r="D32" s="46"/>
      <c r="E32" s="46" t="s">
        <v>232</v>
      </c>
      <c r="F32" s="46"/>
      <c r="G32" s="47" t="s">
        <v>233</v>
      </c>
      <c r="H32" s="49" t="str">
        <f aca="false">CO_ORDINATES(G32)</f>
        <v>55.8712203,26.5171099</v>
      </c>
      <c r="I32" s="47" t="s">
        <v>233</v>
      </c>
      <c r="J32" s="50" t="str">
        <f aca="false">CO_ORDINATES(I32)</f>
        <v>55.8712203,26.5171099</v>
      </c>
      <c r="K32" s="47"/>
      <c r="L32" s="47"/>
      <c r="M32" s="46"/>
      <c r="N32" s="46"/>
      <c r="O32" s="46"/>
      <c r="P32" s="40"/>
      <c r="Q32" s="40"/>
      <c r="R32" s="46"/>
      <c r="S32" s="46"/>
      <c r="T32" s="46"/>
    </row>
    <row r="33" customFormat="false" ht="27" hidden="false" customHeight="false" outlineLevel="0" collapsed="false">
      <c r="A33" s="46"/>
      <c r="B33" s="47" t="s">
        <v>234</v>
      </c>
      <c r="C33" s="48" t="s">
        <v>90</v>
      </c>
      <c r="D33" s="46"/>
      <c r="E33" s="46" t="s">
        <v>235</v>
      </c>
      <c r="F33" s="46"/>
      <c r="G33" s="47" t="s">
        <v>236</v>
      </c>
      <c r="H33" s="49" t="str">
        <f aca="false">CO_ORDINATES(G33)</f>
        <v>55.8768916,26.5527102</v>
      </c>
      <c r="I33" s="47" t="s">
        <v>236</v>
      </c>
      <c r="J33" s="50" t="str">
        <f aca="false">CO_ORDINATES(I33)</f>
        <v>55.8768916,26.5527102</v>
      </c>
      <c r="K33" s="47"/>
      <c r="L33" s="47"/>
      <c r="M33" s="46"/>
      <c r="N33" s="46"/>
      <c r="O33" s="46"/>
      <c r="P33" s="40"/>
      <c r="Q33" s="40"/>
      <c r="R33" s="46"/>
      <c r="S33" s="46"/>
      <c r="T33" s="46"/>
    </row>
    <row r="34" customFormat="false" ht="27" hidden="false" customHeight="false" outlineLevel="0" collapsed="false">
      <c r="A34" s="46"/>
      <c r="B34" s="47" t="s">
        <v>237</v>
      </c>
      <c r="C34" s="48" t="s">
        <v>90</v>
      </c>
      <c r="D34" s="46"/>
      <c r="E34" s="46" t="s">
        <v>238</v>
      </c>
      <c r="F34" s="46"/>
      <c r="G34" s="47" t="s">
        <v>239</v>
      </c>
      <c r="H34" s="49" t="str">
        <f aca="false">CO_ORDINATES(G34)</f>
        <v>55.8981536,26.5239821</v>
      </c>
      <c r="I34" s="47" t="s">
        <v>239</v>
      </c>
      <c r="J34" s="50" t="str">
        <f aca="false">CO_ORDINATES(I34)</f>
        <v>55.8981536,26.5239821</v>
      </c>
      <c r="K34" s="47"/>
      <c r="L34" s="47"/>
      <c r="M34" s="46"/>
      <c r="N34" s="46"/>
      <c r="O34" s="46"/>
      <c r="P34" s="40"/>
      <c r="Q34" s="40"/>
      <c r="R34" s="46"/>
      <c r="S34" s="46"/>
      <c r="T34" s="46"/>
    </row>
    <row r="35" customFormat="false" ht="54.75" hidden="false" customHeight="false" outlineLevel="0" collapsed="false">
      <c r="A35" s="46"/>
      <c r="B35" s="47" t="s">
        <v>240</v>
      </c>
      <c r="C35" s="48" t="s">
        <v>90</v>
      </c>
      <c r="D35" s="46"/>
      <c r="E35" s="46" t="s">
        <v>241</v>
      </c>
      <c r="F35" s="46"/>
      <c r="G35" s="47" t="s">
        <v>242</v>
      </c>
      <c r="H35" s="49" t="str">
        <f aca="false">CO_ORDINATES(G35)</f>
        <v>56.0535822,26.3694452</v>
      </c>
      <c r="I35" s="47" t="s">
        <v>242</v>
      </c>
      <c r="J35" s="50" t="str">
        <f aca="false">CO_ORDINATES(I35)</f>
        <v>56.0535822,26.3694452</v>
      </c>
      <c r="K35" s="47"/>
      <c r="L35" s="47"/>
      <c r="M35" s="46"/>
      <c r="N35" s="46"/>
      <c r="O35" s="46"/>
      <c r="P35" s="40"/>
      <c r="Q35" s="40"/>
      <c r="R35" s="46"/>
      <c r="S35" s="46"/>
      <c r="T35" s="46"/>
    </row>
    <row r="36" customFormat="false" ht="27" hidden="false" customHeight="false" outlineLevel="0" collapsed="false">
      <c r="A36" s="46"/>
      <c r="B36" s="47" t="s">
        <v>243</v>
      </c>
      <c r="C36" s="48" t="s">
        <v>90</v>
      </c>
      <c r="D36" s="46"/>
      <c r="E36" s="46" t="s">
        <v>244</v>
      </c>
      <c r="F36" s="46"/>
      <c r="G36" s="47" t="s">
        <v>245</v>
      </c>
      <c r="H36" s="49" t="str">
        <f aca="false">CO_ORDINATES(G36)</f>
        <v>55.8898106,26.5475525</v>
      </c>
      <c r="I36" s="47" t="s">
        <v>245</v>
      </c>
      <c r="J36" s="50" t="str">
        <f aca="false">CO_ORDINATES(I36)</f>
        <v>55.8898106,26.5475525</v>
      </c>
      <c r="K36" s="47"/>
      <c r="L36" s="47"/>
      <c r="M36" s="46"/>
      <c r="N36" s="46"/>
      <c r="O36" s="46"/>
      <c r="P36" s="40"/>
      <c r="Q36" s="40"/>
      <c r="R36" s="46"/>
      <c r="S36" s="46"/>
      <c r="T36" s="46"/>
    </row>
    <row r="37" customFormat="false" ht="27" hidden="false" customHeight="false" outlineLevel="0" collapsed="false">
      <c r="A37" s="46"/>
      <c r="B37" s="47" t="s">
        <v>246</v>
      </c>
      <c r="C37" s="48" t="s">
        <v>90</v>
      </c>
      <c r="D37" s="46"/>
      <c r="E37" s="46" t="s">
        <v>247</v>
      </c>
      <c r="F37" s="46"/>
      <c r="G37" s="47" t="s">
        <v>248</v>
      </c>
      <c r="H37" s="49" t="str">
        <f aca="false">CO_ORDINATES(G37)</f>
        <v>55.8981536,26.5239821</v>
      </c>
      <c r="I37" s="47" t="s">
        <v>248</v>
      </c>
      <c r="J37" s="50" t="str">
        <f aca="false">CO_ORDINATES(I37)</f>
        <v>55.8981536,26.5239821</v>
      </c>
      <c r="K37" s="47"/>
      <c r="L37" s="47"/>
      <c r="M37" s="46"/>
      <c r="N37" s="46"/>
      <c r="O37" s="46"/>
      <c r="P37" s="40"/>
      <c r="Q37" s="40"/>
      <c r="R37" s="46"/>
      <c r="S37" s="46"/>
      <c r="T37" s="46"/>
    </row>
    <row r="38" customFormat="false" ht="27" hidden="false" customHeight="false" outlineLevel="0" collapsed="false">
      <c r="A38" s="46"/>
      <c r="B38" s="47" t="s">
        <v>249</v>
      </c>
      <c r="C38" s="48" t="s">
        <v>90</v>
      </c>
      <c r="D38" s="46"/>
      <c r="E38" s="46" t="s">
        <v>250</v>
      </c>
      <c r="F38" s="46"/>
      <c r="G38" s="47" t="s">
        <v>251</v>
      </c>
      <c r="H38" s="49" t="str">
        <f aca="false">CO_ORDINATES(G38)</f>
        <v>55.8973548,26.561578902688808</v>
      </c>
      <c r="I38" s="47" t="s">
        <v>251</v>
      </c>
      <c r="J38" s="50" t="str">
        <f aca="false">CO_ORDINATES(I38)</f>
        <v>55.8973548,26.561578902688808</v>
      </c>
      <c r="K38" s="47"/>
      <c r="L38" s="47"/>
      <c r="M38" s="46"/>
      <c r="N38" s="46"/>
      <c r="O38" s="46"/>
      <c r="P38" s="40"/>
      <c r="Q38" s="40"/>
      <c r="R38" s="46"/>
      <c r="S38" s="46"/>
      <c r="T38" s="46"/>
    </row>
    <row r="39" customFormat="false" ht="27" hidden="false" customHeight="false" outlineLevel="0" collapsed="false">
      <c r="A39" s="46"/>
      <c r="B39" s="47" t="s">
        <v>252</v>
      </c>
      <c r="C39" s="48" t="s">
        <v>90</v>
      </c>
      <c r="D39" s="46"/>
      <c r="E39" s="46" t="s">
        <v>200</v>
      </c>
      <c r="F39" s="46"/>
      <c r="G39" s="47" t="s">
        <v>253</v>
      </c>
      <c r="H39" s="49" t="str">
        <f aca="false">CO_ORDINATES(G39)</f>
        <v>55.9045984,26.5118651</v>
      </c>
      <c r="I39" s="47" t="s">
        <v>253</v>
      </c>
      <c r="J39" s="50" t="str">
        <f aca="false">CO_ORDINATES(I39)</f>
        <v>55.9045984,26.5118651</v>
      </c>
      <c r="K39" s="47"/>
      <c r="L39" s="47"/>
      <c r="M39" s="46"/>
      <c r="N39" s="46"/>
      <c r="O39" s="46"/>
      <c r="P39" s="40"/>
      <c r="Q39" s="40"/>
      <c r="R39" s="46"/>
      <c r="S39" s="46"/>
      <c r="T39" s="46"/>
    </row>
    <row r="40" customFormat="false" ht="27" hidden="false" customHeight="false" outlineLevel="0" collapsed="false">
      <c r="A40" s="46"/>
      <c r="B40" s="47" t="s">
        <v>254</v>
      </c>
      <c r="C40" s="48" t="s">
        <v>90</v>
      </c>
      <c r="D40" s="46"/>
      <c r="E40" s="46" t="s">
        <v>255</v>
      </c>
      <c r="F40" s="46"/>
      <c r="G40" s="47" t="s">
        <v>256</v>
      </c>
      <c r="H40" s="49" t="str">
        <f aca="false">CO_ORDINATES(G40)</f>
        <v>55.874205950000004,26.5538813043093</v>
      </c>
      <c r="I40" s="47" t="s">
        <v>256</v>
      </c>
      <c r="J40" s="50" t="str">
        <f aca="false">CO_ORDINATES(I40)</f>
        <v>55.874205950000004,26.5538813043093</v>
      </c>
      <c r="K40" s="47"/>
      <c r="L40" s="47"/>
      <c r="M40" s="46"/>
      <c r="N40" s="46"/>
      <c r="O40" s="46"/>
      <c r="P40" s="40"/>
      <c r="Q40" s="40"/>
      <c r="R40" s="46"/>
      <c r="S40" s="46"/>
      <c r="T40" s="46"/>
    </row>
    <row r="41" customFormat="false" ht="27" hidden="false" customHeight="false" outlineLevel="0" collapsed="false">
      <c r="A41" s="46"/>
      <c r="B41" s="47" t="s">
        <v>257</v>
      </c>
      <c r="C41" s="48" t="s">
        <v>90</v>
      </c>
      <c r="D41" s="46"/>
      <c r="E41" s="46" t="s">
        <v>258</v>
      </c>
      <c r="F41" s="46"/>
      <c r="G41" s="47" t="s">
        <v>259</v>
      </c>
      <c r="H41" s="49" t="str">
        <f aca="false">CO_ORDINATES(G41)</f>
        <v>55.8848641,26.5277424</v>
      </c>
      <c r="I41" s="47" t="s">
        <v>259</v>
      </c>
      <c r="J41" s="50" t="str">
        <f aca="false">CO_ORDINATES(I41)</f>
        <v>55.8848641,26.5277424</v>
      </c>
      <c r="K41" s="47"/>
      <c r="L41" s="47"/>
      <c r="M41" s="46"/>
      <c r="N41" s="46"/>
      <c r="O41" s="46"/>
      <c r="P41" s="40"/>
      <c r="Q41" s="40"/>
      <c r="R41" s="46"/>
      <c r="S41" s="46"/>
      <c r="T41" s="46"/>
    </row>
    <row r="42" customFormat="false" ht="41.25" hidden="false" customHeight="false" outlineLevel="0" collapsed="false">
      <c r="A42" s="46"/>
      <c r="B42" s="47" t="s">
        <v>260</v>
      </c>
      <c r="C42" s="48" t="s">
        <v>90</v>
      </c>
      <c r="D42" s="46"/>
      <c r="E42" s="46" t="s">
        <v>261</v>
      </c>
      <c r="F42" s="46"/>
      <c r="G42" s="47" t="s">
        <v>262</v>
      </c>
      <c r="H42" s="51" t="e">
        <f aca="false">CO_ORDINATES(G42)</f>
        <v>#VALUE!</v>
      </c>
      <c r="I42" s="47" t="s">
        <v>262</v>
      </c>
      <c r="J42" s="52" t="e">
        <f aca="false">CO_ORDINATES(I42)</f>
        <v>#VALUE!</v>
      </c>
      <c r="K42" s="47"/>
      <c r="L42" s="47"/>
      <c r="M42" s="46"/>
      <c r="N42" s="46"/>
      <c r="O42" s="46"/>
      <c r="P42" s="40"/>
      <c r="Q42" s="40"/>
      <c r="R42" s="46"/>
      <c r="S42" s="46"/>
      <c r="T42" s="46"/>
    </row>
    <row r="43" customFormat="false" ht="41.25" hidden="false" customHeight="false" outlineLevel="0" collapsed="false">
      <c r="A43" s="46"/>
      <c r="B43" s="47" t="s">
        <v>263</v>
      </c>
      <c r="C43" s="48" t="s">
        <v>90</v>
      </c>
      <c r="D43" s="46"/>
      <c r="E43" s="46" t="s">
        <v>264</v>
      </c>
      <c r="F43" s="46"/>
      <c r="G43" s="47" t="s">
        <v>265</v>
      </c>
      <c r="H43" s="49" t="str">
        <f aca="false">CO_ORDINATES(G43)</f>
        <v>55.8747674,26.549251</v>
      </c>
      <c r="I43" s="47" t="s">
        <v>265</v>
      </c>
      <c r="J43" s="50" t="str">
        <f aca="false">CO_ORDINATES(I43)</f>
        <v>55.8747674,26.549251</v>
      </c>
      <c r="K43" s="47"/>
      <c r="L43" s="47"/>
      <c r="M43" s="46"/>
      <c r="N43" s="46"/>
      <c r="O43" s="46"/>
      <c r="P43" s="40"/>
      <c r="Q43" s="40"/>
      <c r="R43" s="46"/>
      <c r="S43" s="46"/>
      <c r="T43" s="46"/>
    </row>
    <row r="44" customFormat="false" ht="27" hidden="false" customHeight="false" outlineLevel="0" collapsed="false">
      <c r="A44" s="46"/>
      <c r="B44" s="47" t="s">
        <v>266</v>
      </c>
      <c r="C44" s="48" t="s">
        <v>90</v>
      </c>
      <c r="D44" s="46"/>
      <c r="E44" s="46" t="s">
        <v>267</v>
      </c>
      <c r="F44" s="46"/>
      <c r="G44" s="47" t="s">
        <v>268</v>
      </c>
      <c r="H44" s="49" t="str">
        <f aca="false">CO_ORDINATES(G44)</f>
        <v>55.8749966,26.5522684</v>
      </c>
      <c r="I44" s="47" t="s">
        <v>268</v>
      </c>
      <c r="J44" s="50" t="str">
        <f aca="false">CO_ORDINATES(I44)</f>
        <v>55.8749966,26.5522684</v>
      </c>
      <c r="K44" s="47"/>
      <c r="L44" s="47"/>
      <c r="M44" s="46"/>
      <c r="N44" s="46"/>
      <c r="O44" s="46"/>
      <c r="P44" s="40"/>
      <c r="Q44" s="40"/>
      <c r="R44" s="46"/>
      <c r="S44" s="46"/>
      <c r="T44" s="46"/>
    </row>
    <row r="45" customFormat="false" ht="54.75" hidden="false" customHeight="false" outlineLevel="0" collapsed="false">
      <c r="A45" s="46"/>
      <c r="B45" s="47" t="s">
        <v>269</v>
      </c>
      <c r="C45" s="48" t="s">
        <v>90</v>
      </c>
      <c r="D45" s="46"/>
      <c r="E45" s="46" t="s">
        <v>270</v>
      </c>
      <c r="F45" s="46"/>
      <c r="G45" s="47" t="s">
        <v>224</v>
      </c>
      <c r="H45" s="51" t="e">
        <f aca="false">CO_ORDINATES(G45)</f>
        <v>#VALUE!</v>
      </c>
      <c r="I45" s="47" t="s">
        <v>224</v>
      </c>
      <c r="J45" s="52" t="e">
        <f aca="false">CO_ORDINATES(I45)</f>
        <v>#VALUE!</v>
      </c>
      <c r="K45" s="47"/>
      <c r="L45" s="47"/>
      <c r="M45" s="46"/>
      <c r="N45" s="46"/>
      <c r="O45" s="46"/>
      <c r="P45" s="40"/>
      <c r="Q45" s="40"/>
      <c r="R45" s="46"/>
      <c r="S45" s="46"/>
      <c r="T45" s="46"/>
    </row>
    <row r="46" customFormat="false" ht="27" hidden="false" customHeight="false" outlineLevel="0" collapsed="false">
      <c r="A46" s="46"/>
      <c r="B46" s="47" t="s">
        <v>271</v>
      </c>
      <c r="C46" s="48" t="s">
        <v>90</v>
      </c>
      <c r="D46" s="46"/>
      <c r="E46" s="46" t="s">
        <v>247</v>
      </c>
      <c r="F46" s="46"/>
      <c r="G46" s="47" t="s">
        <v>272</v>
      </c>
      <c r="H46" s="49" t="str">
        <f aca="false">CO_ORDINATES(G46)</f>
        <v>55.870237,26.5110414</v>
      </c>
      <c r="I46" s="47" t="s">
        <v>272</v>
      </c>
      <c r="J46" s="50" t="str">
        <f aca="false">CO_ORDINATES(I46)</f>
        <v>55.870237,26.5110414</v>
      </c>
      <c r="K46" s="47"/>
      <c r="L46" s="47"/>
      <c r="M46" s="46"/>
      <c r="N46" s="46"/>
      <c r="O46" s="46"/>
      <c r="P46" s="40"/>
      <c r="Q46" s="40"/>
      <c r="R46" s="46"/>
      <c r="S46" s="46"/>
      <c r="T46" s="46"/>
    </row>
    <row r="47" customFormat="false" ht="27" hidden="false" customHeight="false" outlineLevel="0" collapsed="false">
      <c r="A47" s="46"/>
      <c r="B47" s="47" t="s">
        <v>273</v>
      </c>
      <c r="C47" s="48" t="s">
        <v>90</v>
      </c>
      <c r="D47" s="46"/>
      <c r="E47" s="46" t="s">
        <v>264</v>
      </c>
      <c r="F47" s="46"/>
      <c r="G47" s="47" t="s">
        <v>274</v>
      </c>
      <c r="H47" s="49" t="str">
        <f aca="false">CO_ORDINATES(G47)</f>
        <v>55.87047695,26.551902037618273</v>
      </c>
      <c r="I47" s="47" t="s">
        <v>274</v>
      </c>
      <c r="J47" s="50" t="str">
        <f aca="false">CO_ORDINATES(I47)</f>
        <v>55.87047695,26.551902037618273</v>
      </c>
      <c r="K47" s="47"/>
      <c r="L47" s="47"/>
      <c r="M47" s="46"/>
      <c r="N47" s="46"/>
      <c r="O47" s="46"/>
      <c r="P47" s="40"/>
      <c r="Q47" s="40"/>
      <c r="R47" s="46"/>
      <c r="S47" s="46"/>
      <c r="T47" s="46"/>
    </row>
    <row r="48" customFormat="false" ht="41.25" hidden="false" customHeight="false" outlineLevel="0" collapsed="false">
      <c r="A48" s="46"/>
      <c r="B48" s="47" t="s">
        <v>275</v>
      </c>
      <c r="C48" s="48" t="s">
        <v>90</v>
      </c>
      <c r="D48" s="46"/>
      <c r="E48" s="46" t="s">
        <v>276</v>
      </c>
      <c r="F48" s="46"/>
      <c r="G48" s="47" t="s">
        <v>277</v>
      </c>
      <c r="H48" s="51" t="e">
        <f aca="false">CO_ORDINATES(G48)</f>
        <v>#VALUE!</v>
      </c>
      <c r="I48" s="47" t="s">
        <v>277</v>
      </c>
      <c r="J48" s="52" t="e">
        <f aca="false">CO_ORDINATES(I48)</f>
        <v>#VALUE!</v>
      </c>
      <c r="K48" s="47"/>
      <c r="L48" s="47"/>
      <c r="M48" s="46"/>
      <c r="N48" s="46"/>
      <c r="O48" s="46"/>
      <c r="P48" s="40"/>
      <c r="Q48" s="40"/>
      <c r="R48" s="46"/>
      <c r="S48" s="46"/>
      <c r="T48" s="46"/>
    </row>
    <row r="49" customFormat="false" ht="27" hidden="false" customHeight="false" outlineLevel="0" collapsed="false">
      <c r="A49" s="46"/>
      <c r="B49" s="47" t="s">
        <v>278</v>
      </c>
      <c r="C49" s="48" t="s">
        <v>90</v>
      </c>
      <c r="D49" s="46"/>
      <c r="E49" s="46" t="s">
        <v>264</v>
      </c>
      <c r="F49" s="46"/>
      <c r="G49" s="47" t="s">
        <v>279</v>
      </c>
      <c r="H49" s="49" t="str">
        <f aca="false">CO_ORDINATES(G49)</f>
        <v>55.8768916,26.5527102</v>
      </c>
      <c r="I49" s="47" t="s">
        <v>279</v>
      </c>
      <c r="J49" s="50" t="str">
        <f aca="false">CO_ORDINATES(I49)</f>
        <v>55.8768916,26.5527102</v>
      </c>
      <c r="K49" s="47"/>
      <c r="L49" s="47"/>
      <c r="M49" s="46"/>
      <c r="N49" s="46"/>
      <c r="O49" s="46"/>
      <c r="P49" s="40"/>
      <c r="Q49" s="40"/>
      <c r="R49" s="46"/>
      <c r="S49" s="46"/>
      <c r="T49" s="46"/>
    </row>
    <row r="50" customFormat="false" ht="27" hidden="false" customHeight="false" outlineLevel="0" collapsed="false">
      <c r="A50" s="46"/>
      <c r="B50" s="47" t="s">
        <v>280</v>
      </c>
      <c r="C50" s="48" t="s">
        <v>90</v>
      </c>
      <c r="D50" s="46"/>
      <c r="E50" s="46" t="s">
        <v>281</v>
      </c>
      <c r="F50" s="46"/>
      <c r="G50" s="47" t="s">
        <v>282</v>
      </c>
      <c r="H50" s="49" t="str">
        <f aca="false">CO_ORDINATES(G50)</f>
        <v>55.8888198,26.5458117</v>
      </c>
      <c r="I50" s="47" t="s">
        <v>282</v>
      </c>
      <c r="J50" s="50" t="str">
        <f aca="false">CO_ORDINATES(I50)</f>
        <v>55.8888198,26.5458117</v>
      </c>
      <c r="K50" s="47"/>
      <c r="L50" s="47"/>
      <c r="M50" s="46"/>
      <c r="N50" s="46"/>
      <c r="O50" s="46"/>
      <c r="P50" s="40"/>
      <c r="Q50" s="40"/>
      <c r="R50" s="46"/>
      <c r="S50" s="46"/>
      <c r="T50" s="46"/>
    </row>
    <row r="51" customFormat="false" ht="27" hidden="false" customHeight="false" outlineLevel="0" collapsed="false">
      <c r="A51" s="46"/>
      <c r="B51" s="47" t="s">
        <v>283</v>
      </c>
      <c r="C51" s="48" t="s">
        <v>90</v>
      </c>
      <c r="D51" s="46"/>
      <c r="E51" s="46" t="s">
        <v>284</v>
      </c>
      <c r="F51" s="46"/>
      <c r="G51" s="47" t="s">
        <v>285</v>
      </c>
      <c r="H51" s="49" t="str">
        <f aca="false">CO_ORDINATES(G51)</f>
        <v>55.87116075,26.564056179442105</v>
      </c>
      <c r="I51" s="47" t="s">
        <v>285</v>
      </c>
      <c r="J51" s="50" t="str">
        <f aca="false">CO_ORDINATES(I51)</f>
        <v>55.87116075,26.564056179442105</v>
      </c>
      <c r="K51" s="47"/>
      <c r="L51" s="47"/>
      <c r="M51" s="46"/>
      <c r="N51" s="46"/>
      <c r="O51" s="46"/>
      <c r="P51" s="40"/>
      <c r="Q51" s="40"/>
      <c r="R51" s="46"/>
      <c r="S51" s="46"/>
      <c r="T51" s="46"/>
    </row>
    <row r="52" customFormat="false" ht="41.25" hidden="false" customHeight="false" outlineLevel="0" collapsed="false">
      <c r="A52" s="46"/>
      <c r="B52" s="47" t="s">
        <v>286</v>
      </c>
      <c r="C52" s="48" t="s">
        <v>90</v>
      </c>
      <c r="D52" s="46"/>
      <c r="E52" s="46" t="s">
        <v>264</v>
      </c>
      <c r="F52" s="46"/>
      <c r="G52" s="47" t="s">
        <v>287</v>
      </c>
      <c r="H52" s="51" t="e">
        <f aca="false">CO_ORDINATES(G52)</f>
        <v>#VALUE!</v>
      </c>
      <c r="I52" s="47" t="s">
        <v>287</v>
      </c>
      <c r="J52" s="52" t="e">
        <f aca="false">CO_ORDINATES(I52)</f>
        <v>#VALUE!</v>
      </c>
      <c r="K52" s="47"/>
      <c r="L52" s="47"/>
      <c r="M52" s="46"/>
      <c r="N52" s="46"/>
      <c r="O52" s="46"/>
      <c r="P52" s="40"/>
      <c r="Q52" s="40"/>
      <c r="R52" s="46"/>
      <c r="S52" s="46"/>
      <c r="T52" s="46"/>
    </row>
    <row r="53" customFormat="false" ht="54.75" hidden="false" customHeight="false" outlineLevel="0" collapsed="false">
      <c r="A53" s="46"/>
      <c r="B53" s="47" t="s">
        <v>288</v>
      </c>
      <c r="C53" s="48" t="s">
        <v>90</v>
      </c>
      <c r="D53" s="46"/>
      <c r="E53" s="46" t="s">
        <v>289</v>
      </c>
      <c r="F53" s="46"/>
      <c r="G53" s="47" t="s">
        <v>290</v>
      </c>
      <c r="H53" s="51" t="e">
        <f aca="false">CO_ORDINATES(G53)</f>
        <v>#VALUE!</v>
      </c>
      <c r="I53" s="47" t="s">
        <v>290</v>
      </c>
      <c r="J53" s="52" t="e">
        <f aca="false">CO_ORDINATES(I53)</f>
        <v>#VALUE!</v>
      </c>
      <c r="K53" s="47"/>
      <c r="L53" s="47"/>
      <c r="M53" s="46"/>
      <c r="N53" s="46"/>
      <c r="O53" s="46"/>
      <c r="P53" s="40"/>
      <c r="Q53" s="40"/>
      <c r="R53" s="46"/>
      <c r="S53" s="46"/>
      <c r="T53" s="46"/>
    </row>
    <row r="54" customFormat="false" ht="54.75" hidden="false" customHeight="false" outlineLevel="0" collapsed="false">
      <c r="A54" s="46"/>
      <c r="B54" s="47" t="s">
        <v>291</v>
      </c>
      <c r="C54" s="48" t="s">
        <v>90</v>
      </c>
      <c r="D54" s="46"/>
      <c r="E54" s="46" t="s">
        <v>292</v>
      </c>
      <c r="F54" s="46"/>
      <c r="G54" s="47" t="s">
        <v>293</v>
      </c>
      <c r="H54" s="51" t="e">
        <f aca="false">CO_ORDINATES(G54)</f>
        <v>#VALUE!</v>
      </c>
      <c r="I54" s="47" t="s">
        <v>293</v>
      </c>
      <c r="J54" s="52" t="e">
        <f aca="false">CO_ORDINATES(I54)</f>
        <v>#VALUE!</v>
      </c>
      <c r="K54" s="47"/>
      <c r="L54" s="47"/>
      <c r="M54" s="46"/>
      <c r="N54" s="46"/>
      <c r="O54" s="46"/>
      <c r="P54" s="40"/>
      <c r="Q54" s="40"/>
      <c r="R54" s="46"/>
      <c r="S54" s="46"/>
      <c r="T54" s="46"/>
    </row>
    <row r="55" customFormat="false" ht="27" hidden="false" customHeight="false" outlineLevel="0" collapsed="false">
      <c r="A55" s="46"/>
      <c r="B55" s="47" t="s">
        <v>294</v>
      </c>
      <c r="C55" s="48" t="s">
        <v>90</v>
      </c>
      <c r="D55" s="46"/>
      <c r="E55" s="46" t="s">
        <v>295</v>
      </c>
      <c r="F55" s="46"/>
      <c r="G55" s="47" t="s">
        <v>296</v>
      </c>
      <c r="H55" s="49" t="str">
        <f aca="false">CO_ORDINATES(G55)</f>
        <v>55.9179765,26.5815491</v>
      </c>
      <c r="I55" s="47" t="s">
        <v>296</v>
      </c>
      <c r="J55" s="50" t="str">
        <f aca="false">CO_ORDINATES(I55)</f>
        <v>55.9179765,26.5815491</v>
      </c>
      <c r="K55" s="47"/>
      <c r="L55" s="47"/>
      <c r="M55" s="46"/>
      <c r="N55" s="46"/>
      <c r="O55" s="46"/>
      <c r="P55" s="40"/>
      <c r="Q55" s="40"/>
      <c r="R55" s="46"/>
      <c r="S55" s="46"/>
      <c r="T55" s="46"/>
    </row>
    <row r="56" customFormat="false" ht="27" hidden="false" customHeight="false" outlineLevel="0" collapsed="false">
      <c r="A56" s="46"/>
      <c r="B56" s="47" t="s">
        <v>297</v>
      </c>
      <c r="C56" s="48" t="s">
        <v>90</v>
      </c>
      <c r="D56" s="46"/>
      <c r="E56" s="46" t="s">
        <v>298</v>
      </c>
      <c r="F56" s="46"/>
      <c r="G56" s="47" t="s">
        <v>299</v>
      </c>
      <c r="H56" s="49" t="str">
        <f aca="false">CO_ORDINATES(G56)</f>
        <v>55.86391435,26.58484657668177</v>
      </c>
      <c r="I56" s="47" t="s">
        <v>299</v>
      </c>
      <c r="J56" s="50" t="str">
        <f aca="false">CO_ORDINATES(I56)</f>
        <v>55.86391435,26.58484657668177</v>
      </c>
      <c r="K56" s="47"/>
      <c r="L56" s="47"/>
      <c r="M56" s="46"/>
      <c r="N56" s="46"/>
      <c r="O56" s="46"/>
      <c r="P56" s="40"/>
      <c r="Q56" s="40"/>
      <c r="R56" s="46"/>
      <c r="S56" s="46"/>
      <c r="T56" s="46"/>
    </row>
    <row r="57" customFormat="false" ht="41.25" hidden="false" customHeight="false" outlineLevel="0" collapsed="false">
      <c r="A57" s="46"/>
      <c r="B57" s="47" t="s">
        <v>300</v>
      </c>
      <c r="C57" s="48" t="s">
        <v>90</v>
      </c>
      <c r="D57" s="46"/>
      <c r="E57" s="46" t="s">
        <v>264</v>
      </c>
      <c r="F57" s="46"/>
      <c r="G57" s="47" t="s">
        <v>301</v>
      </c>
      <c r="H57" s="51" t="e">
        <f aca="false">CO_ORDINATES(G57)</f>
        <v>#VALUE!</v>
      </c>
      <c r="I57" s="47" t="s">
        <v>301</v>
      </c>
      <c r="J57" s="52" t="e">
        <f aca="false">CO_ORDINATES(I57)</f>
        <v>#VALUE!</v>
      </c>
      <c r="K57" s="47"/>
      <c r="L57" s="47"/>
      <c r="M57" s="46"/>
      <c r="N57" s="46"/>
      <c r="O57" s="46"/>
      <c r="P57" s="40"/>
      <c r="Q57" s="40"/>
      <c r="R57" s="46"/>
      <c r="S57" s="46"/>
      <c r="T57" s="46"/>
    </row>
    <row r="58" customFormat="false" ht="41.25" hidden="false" customHeight="false" outlineLevel="0" collapsed="false">
      <c r="A58" s="46"/>
      <c r="B58" s="47" t="s">
        <v>302</v>
      </c>
      <c r="C58" s="48" t="s">
        <v>90</v>
      </c>
      <c r="D58" s="46"/>
      <c r="E58" s="46" t="s">
        <v>303</v>
      </c>
      <c r="F58" s="46"/>
      <c r="G58" s="47" t="s">
        <v>304</v>
      </c>
      <c r="H58" s="51" t="e">
        <f aca="false">CO_ORDINATES(G58)</f>
        <v>#VALUE!</v>
      </c>
      <c r="I58" s="47" t="s">
        <v>304</v>
      </c>
      <c r="J58" s="52" t="e">
        <f aca="false">CO_ORDINATES(I58)</f>
        <v>#VALUE!</v>
      </c>
      <c r="K58" s="47"/>
      <c r="L58" s="47"/>
      <c r="M58" s="46"/>
      <c r="N58" s="46"/>
      <c r="O58" s="46"/>
      <c r="P58" s="40"/>
      <c r="Q58" s="40"/>
      <c r="R58" s="46"/>
      <c r="S58" s="46"/>
      <c r="T58" s="46"/>
    </row>
    <row r="59" customFormat="false" ht="54.75" hidden="false" customHeight="false" outlineLevel="0" collapsed="false">
      <c r="A59" s="46"/>
      <c r="B59" s="47" t="s">
        <v>305</v>
      </c>
      <c r="C59" s="48" t="s">
        <v>90</v>
      </c>
      <c r="D59" s="46"/>
      <c r="E59" s="46" t="s">
        <v>306</v>
      </c>
      <c r="F59" s="46"/>
      <c r="G59" s="47" t="s">
        <v>307</v>
      </c>
      <c r="H59" s="51" t="e">
        <f aca="false">CO_ORDINATES(G59)</f>
        <v>#VALUE!</v>
      </c>
      <c r="I59" s="47" t="s">
        <v>307</v>
      </c>
      <c r="J59" s="52" t="e">
        <f aca="false">CO_ORDINATES(I59)</f>
        <v>#VALUE!</v>
      </c>
      <c r="K59" s="47"/>
      <c r="L59" s="47"/>
      <c r="M59" s="46"/>
      <c r="N59" s="46"/>
      <c r="O59" s="46"/>
      <c r="P59" s="40"/>
      <c r="Q59" s="40"/>
      <c r="R59" s="46"/>
      <c r="S59" s="46"/>
      <c r="T59" s="46"/>
    </row>
    <row r="60" customFormat="false" ht="27" hidden="false" customHeight="false" outlineLevel="0" collapsed="false">
      <c r="A60" s="46"/>
      <c r="B60" s="47" t="s">
        <v>308</v>
      </c>
      <c r="C60" s="48" t="s">
        <v>90</v>
      </c>
      <c r="D60" s="46"/>
      <c r="E60" s="46" t="s">
        <v>309</v>
      </c>
      <c r="F60" s="46"/>
      <c r="G60" s="47" t="s">
        <v>310</v>
      </c>
      <c r="H60" s="49" t="str">
        <f aca="false">CO_ORDINATES(G60)</f>
        <v>55.8716291,26.5217332</v>
      </c>
      <c r="I60" s="47" t="s">
        <v>310</v>
      </c>
      <c r="J60" s="50" t="str">
        <f aca="false">CO_ORDINATES(I60)</f>
        <v>55.8716291,26.5217332</v>
      </c>
      <c r="K60" s="47"/>
      <c r="L60" s="47"/>
      <c r="M60" s="46"/>
      <c r="N60" s="46"/>
      <c r="O60" s="46"/>
      <c r="P60" s="40"/>
      <c r="Q60" s="40"/>
      <c r="R60" s="46"/>
      <c r="S60" s="46"/>
      <c r="T60" s="46"/>
    </row>
    <row r="61" customFormat="false" ht="54.75" hidden="false" customHeight="false" outlineLevel="0" collapsed="false">
      <c r="A61" s="46"/>
      <c r="B61" s="47" t="s">
        <v>311</v>
      </c>
      <c r="C61" s="48" t="s">
        <v>90</v>
      </c>
      <c r="D61" s="46"/>
      <c r="E61" s="46" t="s">
        <v>312</v>
      </c>
      <c r="F61" s="46"/>
      <c r="G61" s="47" t="s">
        <v>313</v>
      </c>
      <c r="H61" s="49" t="str">
        <f aca="false">CO_ORDINATES(G61)</f>
        <v>55.974994800000005,26.27725261034338</v>
      </c>
      <c r="I61" s="47" t="s">
        <v>313</v>
      </c>
      <c r="J61" s="50" t="str">
        <f aca="false">CO_ORDINATES(I61)</f>
        <v>55.974994800000005,26.27725261034338</v>
      </c>
      <c r="K61" s="47"/>
      <c r="L61" s="47"/>
      <c r="M61" s="46"/>
      <c r="N61" s="46"/>
      <c r="O61" s="46"/>
      <c r="P61" s="40"/>
      <c r="Q61" s="40"/>
      <c r="R61" s="46"/>
      <c r="S61" s="46"/>
      <c r="T61" s="46"/>
    </row>
    <row r="62" customFormat="false" ht="27" hidden="false" customHeight="false" outlineLevel="0" collapsed="false">
      <c r="A62" s="46"/>
      <c r="B62" s="47" t="s">
        <v>314</v>
      </c>
      <c r="C62" s="48" t="s">
        <v>90</v>
      </c>
      <c r="D62" s="46"/>
      <c r="E62" s="46" t="s">
        <v>315</v>
      </c>
      <c r="F62" s="46"/>
      <c r="G62" s="47" t="s">
        <v>316</v>
      </c>
      <c r="H62" s="49" t="str">
        <f aca="false">CO_ORDINATES(G62)</f>
        <v>55.8672079,26.5963676</v>
      </c>
      <c r="I62" s="47" t="s">
        <v>316</v>
      </c>
      <c r="J62" s="50" t="str">
        <f aca="false">CO_ORDINATES(I62)</f>
        <v>55.8672079,26.5963676</v>
      </c>
      <c r="K62" s="47"/>
      <c r="L62" s="47"/>
      <c r="M62" s="46"/>
      <c r="N62" s="46"/>
      <c r="O62" s="46"/>
      <c r="P62" s="40"/>
      <c r="Q62" s="40"/>
      <c r="R62" s="46"/>
      <c r="S62" s="46"/>
      <c r="T62" s="46"/>
    </row>
    <row r="63" customFormat="false" ht="27" hidden="false" customHeight="false" outlineLevel="0" collapsed="false">
      <c r="A63" s="46"/>
      <c r="B63" s="47" t="s">
        <v>317</v>
      </c>
      <c r="C63" s="48" t="s">
        <v>90</v>
      </c>
      <c r="D63" s="46"/>
      <c r="E63" s="46" t="s">
        <v>318</v>
      </c>
      <c r="F63" s="46"/>
      <c r="G63" s="47" t="s">
        <v>319</v>
      </c>
      <c r="H63" s="49" t="str">
        <f aca="false">CO_ORDINATES(G63)</f>
        <v>55.877525,26.5341074</v>
      </c>
      <c r="I63" s="47" t="s">
        <v>319</v>
      </c>
      <c r="J63" s="50" t="str">
        <f aca="false">CO_ORDINATES(I63)</f>
        <v>55.877525,26.5341074</v>
      </c>
      <c r="K63" s="47"/>
      <c r="L63" s="47"/>
      <c r="M63" s="46"/>
      <c r="N63" s="46"/>
      <c r="O63" s="46"/>
      <c r="P63" s="40"/>
      <c r="Q63" s="40"/>
      <c r="R63" s="46"/>
      <c r="S63" s="46"/>
      <c r="T63" s="46"/>
    </row>
    <row r="64" customFormat="false" ht="41.25" hidden="false" customHeight="false" outlineLevel="0" collapsed="false">
      <c r="A64" s="46"/>
      <c r="B64" s="47" t="s">
        <v>320</v>
      </c>
      <c r="C64" s="48" t="s">
        <v>90</v>
      </c>
      <c r="D64" s="46"/>
      <c r="E64" s="46" t="s">
        <v>321</v>
      </c>
      <c r="F64" s="46"/>
      <c r="G64" s="47" t="s">
        <v>322</v>
      </c>
      <c r="H64" s="51" t="e">
        <f aca="false">CO_ORDINATES(G64)</f>
        <v>#VALUE!</v>
      </c>
      <c r="I64" s="47" t="s">
        <v>322</v>
      </c>
      <c r="J64" s="52" t="e">
        <f aca="false">CO_ORDINATES(I64)</f>
        <v>#VALUE!</v>
      </c>
      <c r="K64" s="47"/>
      <c r="L64" s="47"/>
      <c r="M64" s="46"/>
      <c r="N64" s="46"/>
      <c r="O64" s="46"/>
      <c r="P64" s="40"/>
      <c r="Q64" s="40"/>
      <c r="R64" s="46"/>
      <c r="S64" s="46"/>
      <c r="T64" s="46"/>
    </row>
    <row r="65" customFormat="false" ht="27" hidden="false" customHeight="false" outlineLevel="0" collapsed="false">
      <c r="A65" s="46"/>
      <c r="B65" s="47" t="s">
        <v>323</v>
      </c>
      <c r="C65" s="48" t="s">
        <v>90</v>
      </c>
      <c r="D65" s="46"/>
      <c r="E65" s="46" t="s">
        <v>324</v>
      </c>
      <c r="F65" s="46"/>
      <c r="G65" s="47" t="s">
        <v>325</v>
      </c>
      <c r="H65" s="49" t="str">
        <f aca="false">CO_ORDINATES(G65)</f>
        <v>55.8766561,26.557765</v>
      </c>
      <c r="I65" s="47" t="s">
        <v>325</v>
      </c>
      <c r="J65" s="50" t="str">
        <f aca="false">CO_ORDINATES(I65)</f>
        <v>55.8766561,26.557765</v>
      </c>
      <c r="K65" s="47"/>
      <c r="L65" s="47"/>
      <c r="M65" s="46"/>
      <c r="N65" s="46"/>
      <c r="O65" s="46"/>
      <c r="P65" s="40"/>
      <c r="Q65" s="40"/>
      <c r="R65" s="46"/>
      <c r="S65" s="46"/>
      <c r="T65" s="46"/>
    </row>
    <row r="66" customFormat="false" ht="41.25" hidden="false" customHeight="false" outlineLevel="0" collapsed="false">
      <c r="A66" s="46"/>
      <c r="B66" s="47" t="s">
        <v>326</v>
      </c>
      <c r="C66" s="48" t="s">
        <v>90</v>
      </c>
      <c r="D66" s="46"/>
      <c r="E66" s="46" t="s">
        <v>327</v>
      </c>
      <c r="F66" s="46"/>
      <c r="G66" s="47" t="s">
        <v>328</v>
      </c>
      <c r="H66" s="49" t="str">
        <f aca="false">CO_ORDINATES(G66)</f>
        <v>55.8649751,26.535942</v>
      </c>
      <c r="I66" s="47" t="s">
        <v>328</v>
      </c>
      <c r="J66" s="50" t="str">
        <f aca="false">CO_ORDINATES(I66)</f>
        <v>55.8649751,26.535942</v>
      </c>
      <c r="K66" s="47"/>
      <c r="L66" s="47"/>
      <c r="M66" s="46"/>
      <c r="N66" s="46"/>
      <c r="O66" s="46"/>
      <c r="P66" s="40"/>
      <c r="Q66" s="40"/>
      <c r="R66" s="46"/>
      <c r="S66" s="46"/>
      <c r="T66" s="46"/>
    </row>
    <row r="67" customFormat="false" ht="54.75" hidden="false" customHeight="false" outlineLevel="0" collapsed="false">
      <c r="A67" s="46"/>
      <c r="B67" s="47" t="s">
        <v>329</v>
      </c>
      <c r="C67" s="48" t="s">
        <v>90</v>
      </c>
      <c r="D67" s="46"/>
      <c r="E67" s="46" t="s">
        <v>330</v>
      </c>
      <c r="F67" s="46"/>
      <c r="G67" s="47" t="s">
        <v>331</v>
      </c>
      <c r="H67" s="51" t="e">
        <f aca="false">CO_ORDINATES(G67)</f>
        <v>#VALUE!</v>
      </c>
      <c r="I67" s="47" t="s">
        <v>331</v>
      </c>
      <c r="J67" s="52" t="e">
        <f aca="false">CO_ORDINATES(I67)</f>
        <v>#VALUE!</v>
      </c>
      <c r="K67" s="47"/>
      <c r="L67" s="47"/>
      <c r="M67" s="46"/>
      <c r="N67" s="46"/>
      <c r="O67" s="46"/>
      <c r="P67" s="40"/>
      <c r="Q67" s="40"/>
      <c r="R67" s="46"/>
      <c r="S67" s="46"/>
      <c r="T67" s="46"/>
    </row>
    <row r="68" customFormat="false" ht="69" hidden="false" customHeight="false" outlineLevel="0" collapsed="false">
      <c r="A68" s="46"/>
      <c r="B68" s="47" t="s">
        <v>332</v>
      </c>
      <c r="C68" s="48" t="s">
        <v>90</v>
      </c>
      <c r="D68" s="46"/>
      <c r="E68" s="46" t="s">
        <v>333</v>
      </c>
      <c r="F68" s="46"/>
      <c r="G68" s="47" t="s">
        <v>334</v>
      </c>
      <c r="H68" s="49" t="str">
        <f aca="false">CO_ORDINATES(G68)</f>
        <v>55.7629758,26.739875048630736</v>
      </c>
      <c r="I68" s="47" t="s">
        <v>334</v>
      </c>
      <c r="J68" s="50" t="str">
        <f aca="false">CO_ORDINATES(I68)</f>
        <v>55.7629758,26.739875048630736</v>
      </c>
      <c r="K68" s="47"/>
      <c r="L68" s="47"/>
      <c r="M68" s="46"/>
      <c r="N68" s="46"/>
      <c r="O68" s="46"/>
      <c r="P68" s="40"/>
      <c r="Q68" s="40"/>
      <c r="R68" s="46"/>
      <c r="S68" s="46"/>
      <c r="T68" s="46"/>
    </row>
    <row r="69" customFormat="false" ht="27" hidden="false" customHeight="false" outlineLevel="0" collapsed="false">
      <c r="A69" s="46"/>
      <c r="B69" s="47" t="s">
        <v>335</v>
      </c>
      <c r="C69" s="48" t="s">
        <v>90</v>
      </c>
      <c r="D69" s="46"/>
      <c r="E69" s="46" t="s">
        <v>336</v>
      </c>
      <c r="F69" s="46"/>
      <c r="G69" s="47" t="s">
        <v>337</v>
      </c>
      <c r="H69" s="49" t="str">
        <f aca="false">CO_ORDINATES(G69)</f>
        <v>55.8827435,26.515728</v>
      </c>
      <c r="I69" s="47" t="s">
        <v>337</v>
      </c>
      <c r="J69" s="50" t="str">
        <f aca="false">CO_ORDINATES(I69)</f>
        <v>55.8827435,26.515728</v>
      </c>
      <c r="K69" s="47"/>
      <c r="L69" s="47"/>
      <c r="M69" s="46"/>
      <c r="N69" s="46"/>
      <c r="O69" s="46"/>
      <c r="P69" s="40"/>
      <c r="Q69" s="40"/>
      <c r="R69" s="46"/>
      <c r="S69" s="46"/>
      <c r="T69" s="46"/>
    </row>
    <row r="70" customFormat="false" ht="27" hidden="false" customHeight="false" outlineLevel="0" collapsed="false">
      <c r="A70" s="46"/>
      <c r="B70" s="47" t="s">
        <v>338</v>
      </c>
      <c r="C70" s="48" t="s">
        <v>90</v>
      </c>
      <c r="D70" s="46"/>
      <c r="E70" s="46" t="s">
        <v>339</v>
      </c>
      <c r="F70" s="46"/>
      <c r="G70" s="47" t="s">
        <v>340</v>
      </c>
      <c r="H70" s="49" t="str">
        <f aca="false">CO_ORDINATES(G70)</f>
        <v>55.8744315,26.5682854</v>
      </c>
      <c r="I70" s="47" t="s">
        <v>340</v>
      </c>
      <c r="J70" s="50" t="str">
        <f aca="false">CO_ORDINATES(I70)</f>
        <v>55.8744315,26.5682854</v>
      </c>
      <c r="K70" s="47"/>
      <c r="L70" s="47"/>
      <c r="M70" s="46"/>
      <c r="N70" s="46"/>
      <c r="O70" s="46"/>
      <c r="P70" s="40"/>
      <c r="Q70" s="40"/>
      <c r="R70" s="46"/>
      <c r="S70" s="46"/>
      <c r="T70" s="46"/>
    </row>
    <row r="71" customFormat="false" ht="27" hidden="false" customHeight="false" outlineLevel="0" collapsed="false">
      <c r="A71" s="46"/>
      <c r="B71" s="47" t="s">
        <v>341</v>
      </c>
      <c r="C71" s="48" t="s">
        <v>90</v>
      </c>
      <c r="D71" s="46"/>
      <c r="E71" s="46" t="s">
        <v>342</v>
      </c>
      <c r="F71" s="46"/>
      <c r="G71" s="47" t="s">
        <v>343</v>
      </c>
      <c r="H71" s="49" t="str">
        <f aca="false">CO_ORDINATES(G71)</f>
        <v>55.8690041,26.5145898</v>
      </c>
      <c r="I71" s="47" t="s">
        <v>343</v>
      </c>
      <c r="J71" s="50" t="str">
        <f aca="false">CO_ORDINATES(I71)</f>
        <v>55.8690041,26.5145898</v>
      </c>
      <c r="K71" s="47"/>
      <c r="L71" s="47"/>
      <c r="M71" s="46"/>
      <c r="N71" s="46"/>
      <c r="O71" s="46"/>
      <c r="P71" s="40"/>
      <c r="Q71" s="40"/>
      <c r="R71" s="46"/>
      <c r="S71" s="46"/>
      <c r="T71" s="46"/>
    </row>
    <row r="72" customFormat="false" ht="41.25" hidden="false" customHeight="false" outlineLevel="0" collapsed="false">
      <c r="A72" s="46"/>
      <c r="B72" s="47" t="s">
        <v>344</v>
      </c>
      <c r="C72" s="48" t="s">
        <v>90</v>
      </c>
      <c r="D72" s="46"/>
      <c r="E72" s="46" t="s">
        <v>345</v>
      </c>
      <c r="F72" s="46"/>
      <c r="G72" s="47" t="s">
        <v>346</v>
      </c>
      <c r="H72" s="49" t="str">
        <f aca="false">CO_ORDINATES(G72)</f>
        <v>55.8659525,26.5796242</v>
      </c>
      <c r="I72" s="47" t="s">
        <v>346</v>
      </c>
      <c r="J72" s="50" t="str">
        <f aca="false">CO_ORDINATES(I72)</f>
        <v>55.8659525,26.5796242</v>
      </c>
      <c r="K72" s="47"/>
      <c r="L72" s="47"/>
      <c r="M72" s="46"/>
      <c r="N72" s="46"/>
      <c r="O72" s="46"/>
      <c r="P72" s="40"/>
      <c r="Q72" s="40"/>
      <c r="R72" s="46"/>
      <c r="S72" s="46"/>
      <c r="T72" s="46"/>
    </row>
    <row r="73" customFormat="false" ht="27" hidden="false" customHeight="false" outlineLevel="0" collapsed="false">
      <c r="A73" s="46"/>
      <c r="B73" s="47" t="s">
        <v>347</v>
      </c>
      <c r="C73" s="48" t="s">
        <v>90</v>
      </c>
      <c r="D73" s="46"/>
      <c r="E73" s="46" t="s">
        <v>348</v>
      </c>
      <c r="F73" s="46"/>
      <c r="G73" s="47" t="s">
        <v>349</v>
      </c>
      <c r="H73" s="49" t="str">
        <f aca="false">CO_ORDINATES(G73)</f>
        <v>55.8712666,26.553004</v>
      </c>
      <c r="I73" s="47" t="s">
        <v>349</v>
      </c>
      <c r="J73" s="50" t="str">
        <f aca="false">CO_ORDINATES(I73)</f>
        <v>55.8712666,26.553004</v>
      </c>
      <c r="K73" s="47"/>
      <c r="L73" s="47"/>
      <c r="M73" s="46"/>
      <c r="N73" s="46"/>
      <c r="O73" s="46"/>
      <c r="P73" s="40"/>
      <c r="Q73" s="40"/>
      <c r="R73" s="46"/>
      <c r="S73" s="46"/>
      <c r="T73" s="46"/>
    </row>
    <row r="74" customFormat="false" ht="27" hidden="false" customHeight="false" outlineLevel="0" collapsed="false">
      <c r="A74" s="46"/>
      <c r="B74" s="47" t="s">
        <v>350</v>
      </c>
      <c r="C74" s="48" t="s">
        <v>90</v>
      </c>
      <c r="D74" s="46"/>
      <c r="E74" s="46" t="s">
        <v>351</v>
      </c>
      <c r="F74" s="46"/>
      <c r="G74" s="47" t="s">
        <v>352</v>
      </c>
      <c r="H74" s="49" t="str">
        <f aca="false">CO_ORDINATES(G74)</f>
        <v>55.8645572,26.590132</v>
      </c>
      <c r="I74" s="47" t="s">
        <v>352</v>
      </c>
      <c r="J74" s="50" t="str">
        <f aca="false">CO_ORDINATES(I74)</f>
        <v>55.8645572,26.590132</v>
      </c>
      <c r="K74" s="47"/>
      <c r="L74" s="47"/>
      <c r="M74" s="46"/>
      <c r="N74" s="46"/>
      <c r="O74" s="46"/>
      <c r="P74" s="40"/>
      <c r="Q74" s="40"/>
      <c r="R74" s="46"/>
      <c r="S74" s="46"/>
      <c r="T74" s="46"/>
    </row>
    <row r="75" customFormat="false" ht="41.25" hidden="false" customHeight="false" outlineLevel="0" collapsed="false">
      <c r="A75" s="46"/>
      <c r="B75" s="47" t="s">
        <v>353</v>
      </c>
      <c r="C75" s="48" t="s">
        <v>90</v>
      </c>
      <c r="D75" s="46"/>
      <c r="E75" s="46" t="s">
        <v>354</v>
      </c>
      <c r="F75" s="46"/>
      <c r="G75" s="47" t="s">
        <v>355</v>
      </c>
      <c r="H75" s="49" t="str">
        <f aca="false">CO_ORDINATES(G75)</f>
        <v>55.8713321,26.5426743</v>
      </c>
      <c r="I75" s="47" t="s">
        <v>355</v>
      </c>
      <c r="J75" s="50" t="str">
        <f aca="false">CO_ORDINATES(I75)</f>
        <v>55.8713321,26.5426743</v>
      </c>
      <c r="K75" s="47"/>
      <c r="L75" s="47"/>
      <c r="M75" s="46"/>
      <c r="N75" s="46"/>
      <c r="O75" s="46"/>
      <c r="P75" s="40"/>
      <c r="Q75" s="40"/>
      <c r="R75" s="46"/>
      <c r="S75" s="46"/>
      <c r="T75" s="46"/>
    </row>
    <row r="76" customFormat="false" ht="69" hidden="false" customHeight="false" outlineLevel="0" collapsed="false">
      <c r="A76" s="46"/>
      <c r="B76" s="47" t="s">
        <v>356</v>
      </c>
      <c r="C76" s="48" t="s">
        <v>90</v>
      </c>
      <c r="D76" s="46"/>
      <c r="E76" s="46" t="s">
        <v>357</v>
      </c>
      <c r="F76" s="46"/>
      <c r="G76" s="47" t="s">
        <v>358</v>
      </c>
      <c r="H76" s="51" t="e">
        <f aca="false">CO_ORDINATES(G76)</f>
        <v>#VALUE!</v>
      </c>
      <c r="I76" s="47" t="s">
        <v>358</v>
      </c>
      <c r="J76" s="52" t="e">
        <f aca="false">CO_ORDINATES(I76)</f>
        <v>#VALUE!</v>
      </c>
      <c r="K76" s="47"/>
      <c r="L76" s="47"/>
      <c r="M76" s="46"/>
      <c r="N76" s="46"/>
      <c r="O76" s="46"/>
      <c r="P76" s="40"/>
      <c r="Q76" s="40"/>
      <c r="R76" s="46"/>
      <c r="S76" s="46"/>
      <c r="T76" s="46"/>
    </row>
    <row r="77" customFormat="false" ht="27" hidden="false" customHeight="false" outlineLevel="0" collapsed="false">
      <c r="A77" s="46"/>
      <c r="B77" s="47" t="s">
        <v>359</v>
      </c>
      <c r="C77" s="48" t="s">
        <v>90</v>
      </c>
      <c r="D77" s="46"/>
      <c r="E77" s="46" t="s">
        <v>360</v>
      </c>
      <c r="F77" s="46"/>
      <c r="G77" s="47" t="s">
        <v>361</v>
      </c>
      <c r="H77" s="49" t="str">
        <f aca="false">CO_ORDINATES(G77)</f>
        <v>55.8572527,26.5478199</v>
      </c>
      <c r="I77" s="47" t="s">
        <v>361</v>
      </c>
      <c r="J77" s="50" t="str">
        <f aca="false">CO_ORDINATES(I77)</f>
        <v>55.8572527,26.5478199</v>
      </c>
      <c r="K77" s="47"/>
      <c r="L77" s="47"/>
      <c r="M77" s="46"/>
      <c r="N77" s="46"/>
      <c r="O77" s="46"/>
      <c r="P77" s="40"/>
      <c r="Q77" s="40"/>
      <c r="R77" s="46"/>
      <c r="S77" s="46"/>
      <c r="T77" s="46"/>
    </row>
    <row r="78" customFormat="false" ht="27" hidden="false" customHeight="false" outlineLevel="0" collapsed="false">
      <c r="A78" s="46"/>
      <c r="B78" s="47" t="s">
        <v>362</v>
      </c>
      <c r="C78" s="48" t="s">
        <v>90</v>
      </c>
      <c r="D78" s="46"/>
      <c r="E78" s="46" t="s">
        <v>363</v>
      </c>
      <c r="F78" s="46"/>
      <c r="G78" s="47" t="s">
        <v>364</v>
      </c>
      <c r="H78" s="49" t="str">
        <f aca="false">CO_ORDINATES(G78)</f>
        <v>55.8948525,26.5596421</v>
      </c>
      <c r="I78" s="47" t="s">
        <v>364</v>
      </c>
      <c r="J78" s="50" t="str">
        <f aca="false">CO_ORDINATES(I78)</f>
        <v>55.8948525,26.5596421</v>
      </c>
      <c r="K78" s="47"/>
      <c r="L78" s="47"/>
      <c r="M78" s="46"/>
      <c r="N78" s="46"/>
      <c r="O78" s="46"/>
      <c r="P78" s="40"/>
      <c r="Q78" s="40"/>
      <c r="R78" s="46"/>
      <c r="S78" s="46"/>
      <c r="T78" s="46"/>
    </row>
    <row r="79" customFormat="false" ht="27" hidden="false" customHeight="false" outlineLevel="0" collapsed="false">
      <c r="A79" s="46"/>
      <c r="B79" s="47" t="s">
        <v>365</v>
      </c>
      <c r="C79" s="48" t="s">
        <v>90</v>
      </c>
      <c r="D79" s="46"/>
      <c r="E79" s="46" t="s">
        <v>298</v>
      </c>
      <c r="F79" s="46"/>
      <c r="G79" s="47" t="s">
        <v>366</v>
      </c>
      <c r="H79" s="49" t="str">
        <f aca="false">CO_ORDINATES(G79)</f>
        <v>55.87018085,26.514773145536637</v>
      </c>
      <c r="I79" s="47" t="s">
        <v>366</v>
      </c>
      <c r="J79" s="50" t="str">
        <f aca="false">CO_ORDINATES(I79)</f>
        <v>55.87018085,26.514773145536637</v>
      </c>
      <c r="K79" s="47"/>
      <c r="L79" s="47"/>
      <c r="M79" s="46"/>
      <c r="N79" s="46"/>
      <c r="O79" s="46"/>
      <c r="P79" s="40"/>
      <c r="Q79" s="40"/>
      <c r="R79" s="46"/>
      <c r="S79" s="46"/>
      <c r="T79" s="46"/>
    </row>
    <row r="80" customFormat="false" ht="82.5" hidden="false" customHeight="false" outlineLevel="0" collapsed="false">
      <c r="A80" s="46"/>
      <c r="B80" s="47" t="s">
        <v>367</v>
      </c>
      <c r="C80" s="48" t="s">
        <v>90</v>
      </c>
      <c r="D80" s="46"/>
      <c r="E80" s="46" t="s">
        <v>368</v>
      </c>
      <c r="F80" s="46"/>
      <c r="G80" s="47" t="s">
        <v>369</v>
      </c>
      <c r="H80" s="51" t="e">
        <f aca="false">CO_ORDINATES(G80)</f>
        <v>#VALUE!</v>
      </c>
      <c r="I80" s="47" t="s">
        <v>369</v>
      </c>
      <c r="J80" s="52" t="e">
        <f aca="false">CO_ORDINATES(I80)</f>
        <v>#VALUE!</v>
      </c>
      <c r="K80" s="47"/>
      <c r="L80" s="47"/>
      <c r="M80" s="46"/>
      <c r="N80" s="46"/>
      <c r="O80" s="46"/>
      <c r="P80" s="40"/>
      <c r="Q80" s="40"/>
      <c r="R80" s="46"/>
      <c r="S80" s="46"/>
      <c r="T80" s="46"/>
    </row>
    <row r="81" customFormat="false" ht="27" hidden="false" customHeight="false" outlineLevel="0" collapsed="false">
      <c r="A81" s="46"/>
      <c r="B81" s="47" t="s">
        <v>370</v>
      </c>
      <c r="C81" s="48" t="s">
        <v>90</v>
      </c>
      <c r="D81" s="46"/>
      <c r="E81" s="46" t="s">
        <v>371</v>
      </c>
      <c r="F81" s="46"/>
      <c r="G81" s="47" t="s">
        <v>372</v>
      </c>
      <c r="H81" s="49" t="str">
        <f aca="false">CO_ORDINATES(G81)</f>
        <v>55.8878514,26.5456577</v>
      </c>
      <c r="I81" s="47" t="s">
        <v>372</v>
      </c>
      <c r="J81" s="50" t="str">
        <f aca="false">CO_ORDINATES(I81)</f>
        <v>55.8878514,26.5456577</v>
      </c>
      <c r="K81" s="47"/>
      <c r="L81" s="47"/>
      <c r="M81" s="46"/>
      <c r="N81" s="46"/>
      <c r="O81" s="46"/>
      <c r="P81" s="40"/>
      <c r="Q81" s="40"/>
      <c r="R81" s="46"/>
      <c r="S81" s="46"/>
      <c r="T81" s="46"/>
    </row>
    <row r="82" customFormat="false" ht="27" hidden="false" customHeight="false" outlineLevel="0" collapsed="false">
      <c r="A82" s="46"/>
      <c r="B82" s="47" t="s">
        <v>373</v>
      </c>
      <c r="C82" s="48" t="s">
        <v>90</v>
      </c>
      <c r="D82" s="46"/>
      <c r="E82" s="46" t="s">
        <v>374</v>
      </c>
      <c r="F82" s="46"/>
      <c r="G82" s="47" t="s">
        <v>375</v>
      </c>
      <c r="H82" s="49" t="str">
        <f aca="false">CO_ORDINATES(G82)</f>
        <v>55.8863693,26.542112</v>
      </c>
      <c r="I82" s="47" t="s">
        <v>375</v>
      </c>
      <c r="J82" s="50" t="str">
        <f aca="false">CO_ORDINATES(I82)</f>
        <v>55.8863693,26.542112</v>
      </c>
      <c r="K82" s="47"/>
      <c r="L82" s="47"/>
      <c r="M82" s="46"/>
      <c r="N82" s="46"/>
      <c r="O82" s="46"/>
      <c r="P82" s="40"/>
      <c r="Q82" s="40"/>
      <c r="R82" s="46"/>
      <c r="S82" s="46"/>
      <c r="T82" s="46"/>
    </row>
    <row r="83" customFormat="false" ht="41.25" hidden="false" customHeight="false" outlineLevel="0" collapsed="false">
      <c r="A83" s="46"/>
      <c r="B83" s="47" t="s">
        <v>376</v>
      </c>
      <c r="C83" s="48" t="s">
        <v>90</v>
      </c>
      <c r="D83" s="46"/>
      <c r="E83" s="46" t="s">
        <v>377</v>
      </c>
      <c r="F83" s="46"/>
      <c r="G83" s="47" t="s">
        <v>378</v>
      </c>
      <c r="H83" s="49" t="str">
        <f aca="false">CO_ORDINATES(G83)</f>
        <v>56.0027503,25.906524376410133</v>
      </c>
      <c r="I83" s="47" t="s">
        <v>378</v>
      </c>
      <c r="J83" s="50" t="str">
        <f aca="false">CO_ORDINATES(I83)</f>
        <v>56.0027503,25.906524376410133</v>
      </c>
      <c r="K83" s="47"/>
      <c r="L83" s="47"/>
      <c r="M83" s="46"/>
      <c r="N83" s="46"/>
      <c r="O83" s="46"/>
      <c r="P83" s="40"/>
      <c r="Q83" s="40"/>
      <c r="R83" s="46"/>
      <c r="S83" s="46"/>
      <c r="T83" s="46"/>
    </row>
    <row r="84" customFormat="false" ht="27" hidden="false" customHeight="false" outlineLevel="0" collapsed="false">
      <c r="A84" s="46"/>
      <c r="B84" s="47" t="s">
        <v>379</v>
      </c>
      <c r="C84" s="48" t="s">
        <v>90</v>
      </c>
      <c r="D84" s="46"/>
      <c r="E84" s="46" t="s">
        <v>200</v>
      </c>
      <c r="F84" s="46"/>
      <c r="G84" s="47" t="s">
        <v>380</v>
      </c>
      <c r="H84" s="49" t="str">
        <f aca="false">CO_ORDINATES(G84)</f>
        <v>55.8714565,26.5170135</v>
      </c>
      <c r="I84" s="47" t="s">
        <v>380</v>
      </c>
      <c r="J84" s="50" t="str">
        <f aca="false">CO_ORDINATES(I84)</f>
        <v>55.8714565,26.5170135</v>
      </c>
      <c r="K84" s="47"/>
      <c r="L84" s="47"/>
      <c r="M84" s="46"/>
      <c r="N84" s="46"/>
      <c r="O84" s="46"/>
      <c r="P84" s="40"/>
      <c r="Q84" s="40"/>
      <c r="R84" s="46"/>
      <c r="S84" s="46"/>
      <c r="T84" s="46"/>
    </row>
    <row r="85" customFormat="false" ht="27" hidden="false" customHeight="false" outlineLevel="0" collapsed="false">
      <c r="A85" s="46"/>
      <c r="B85" s="47" t="s">
        <v>381</v>
      </c>
      <c r="C85" s="48" t="s">
        <v>90</v>
      </c>
      <c r="D85" s="46"/>
      <c r="E85" s="46" t="s">
        <v>382</v>
      </c>
      <c r="F85" s="46"/>
      <c r="G85" s="47" t="s">
        <v>383</v>
      </c>
      <c r="H85" s="49" t="str">
        <f aca="false">CO_ORDINATES(G85)</f>
        <v>55.8974126,26.5632765</v>
      </c>
      <c r="I85" s="47" t="s">
        <v>383</v>
      </c>
      <c r="J85" s="50" t="str">
        <f aca="false">CO_ORDINATES(I85)</f>
        <v>55.8974126,26.5632765</v>
      </c>
      <c r="K85" s="47"/>
      <c r="L85" s="47"/>
      <c r="M85" s="46"/>
      <c r="N85" s="46"/>
      <c r="O85" s="46"/>
      <c r="P85" s="40"/>
      <c r="Q85" s="40"/>
      <c r="R85" s="46"/>
      <c r="S85" s="46"/>
      <c r="T85" s="46"/>
    </row>
    <row r="86" customFormat="false" ht="27" hidden="false" customHeight="false" outlineLevel="0" collapsed="false">
      <c r="A86" s="46"/>
      <c r="B86" s="47" t="s">
        <v>384</v>
      </c>
      <c r="C86" s="48" t="s">
        <v>90</v>
      </c>
      <c r="D86" s="46"/>
      <c r="E86" s="46" t="s">
        <v>281</v>
      </c>
      <c r="F86" s="46"/>
      <c r="G86" s="47" t="s">
        <v>385</v>
      </c>
      <c r="H86" s="49" t="str">
        <f aca="false">CO_ORDINATES(G86)</f>
        <v>55.871875,26.566346750000008</v>
      </c>
      <c r="I86" s="47" t="s">
        <v>385</v>
      </c>
      <c r="J86" s="50" t="str">
        <f aca="false">CO_ORDINATES(I86)</f>
        <v>55.871875,26.566346750000008</v>
      </c>
      <c r="K86" s="47"/>
      <c r="L86" s="47"/>
      <c r="M86" s="46"/>
      <c r="N86" s="46"/>
      <c r="O86" s="46"/>
      <c r="P86" s="40"/>
      <c r="Q86" s="40"/>
      <c r="R86" s="46"/>
      <c r="S86" s="46"/>
      <c r="T86" s="46"/>
    </row>
    <row r="87" customFormat="false" ht="27" hidden="false" customHeight="false" outlineLevel="0" collapsed="false">
      <c r="A87" s="46"/>
      <c r="B87" s="47" t="s">
        <v>386</v>
      </c>
      <c r="C87" s="48" t="s">
        <v>90</v>
      </c>
      <c r="D87" s="46"/>
      <c r="E87" s="46" t="s">
        <v>387</v>
      </c>
      <c r="F87" s="46"/>
      <c r="G87" s="47" t="s">
        <v>388</v>
      </c>
      <c r="H87" s="49" t="str">
        <f aca="false">CO_ORDINATES(G87)</f>
        <v>55.8937755,26.4913174</v>
      </c>
      <c r="I87" s="47" t="s">
        <v>388</v>
      </c>
      <c r="J87" s="50" t="str">
        <f aca="false">CO_ORDINATES(I87)</f>
        <v>55.8937755,26.4913174</v>
      </c>
      <c r="K87" s="47"/>
      <c r="L87" s="47"/>
      <c r="M87" s="46"/>
      <c r="N87" s="46"/>
      <c r="O87" s="46"/>
      <c r="P87" s="40"/>
      <c r="Q87" s="40"/>
      <c r="R87" s="46"/>
      <c r="S87" s="46"/>
      <c r="T87" s="46"/>
    </row>
    <row r="88" customFormat="false" ht="27" hidden="false" customHeight="false" outlineLevel="0" collapsed="false">
      <c r="A88" s="46"/>
      <c r="B88" s="47" t="s">
        <v>389</v>
      </c>
      <c r="C88" s="48" t="s">
        <v>90</v>
      </c>
      <c r="D88" s="46"/>
      <c r="E88" s="46" t="s">
        <v>298</v>
      </c>
      <c r="F88" s="46"/>
      <c r="G88" s="47" t="s">
        <v>390</v>
      </c>
      <c r="H88" s="49" t="str">
        <f aca="false">CO_ORDINATES(G88)</f>
        <v>55.8707534,26.55483475</v>
      </c>
      <c r="I88" s="47" t="s">
        <v>390</v>
      </c>
      <c r="J88" s="50" t="str">
        <f aca="false">CO_ORDINATES(I88)</f>
        <v>55.8707534,26.55483475</v>
      </c>
      <c r="K88" s="47"/>
      <c r="L88" s="47"/>
      <c r="M88" s="46"/>
      <c r="N88" s="46"/>
      <c r="O88" s="46"/>
      <c r="P88" s="40"/>
      <c r="Q88" s="40"/>
      <c r="R88" s="46"/>
      <c r="S88" s="46"/>
      <c r="T88" s="46"/>
    </row>
    <row r="89" customFormat="false" ht="27" hidden="false" customHeight="false" outlineLevel="0" collapsed="false">
      <c r="A89" s="46"/>
      <c r="B89" s="47" t="s">
        <v>391</v>
      </c>
      <c r="C89" s="48" t="s">
        <v>392</v>
      </c>
      <c r="D89" s="46"/>
      <c r="E89" s="46" t="s">
        <v>393</v>
      </c>
      <c r="F89" s="46"/>
      <c r="G89" s="47" t="s">
        <v>394</v>
      </c>
      <c r="H89" s="49" t="str">
        <f aca="false">CO_ORDINATES(G89)</f>
        <v>55.8963288,26.4894912</v>
      </c>
      <c r="I89" s="47" t="s">
        <v>394</v>
      </c>
      <c r="J89" s="50" t="str">
        <f aca="false">CO_ORDINATES(I89)</f>
        <v>55.8963288,26.4894912</v>
      </c>
      <c r="K89" s="47"/>
      <c r="L89" s="47"/>
      <c r="M89" s="46"/>
      <c r="N89" s="46"/>
      <c r="O89" s="46"/>
      <c r="P89" s="40"/>
      <c r="Q89" s="40"/>
      <c r="R89" s="46"/>
      <c r="S89" s="46"/>
      <c r="T89" s="46"/>
    </row>
    <row r="90" customFormat="false" ht="27" hidden="false" customHeight="false" outlineLevel="0" collapsed="false">
      <c r="A90" s="46"/>
      <c r="B90" s="47" t="s">
        <v>395</v>
      </c>
      <c r="C90" s="48" t="s">
        <v>90</v>
      </c>
      <c r="D90" s="46"/>
      <c r="E90" s="46" t="s">
        <v>396</v>
      </c>
      <c r="F90" s="46"/>
      <c r="G90" s="47" t="s">
        <v>397</v>
      </c>
      <c r="H90" s="49" t="str">
        <f aca="false">CO_ORDINATES(G90)</f>
        <v>55.9048166,26.5244173</v>
      </c>
      <c r="I90" s="47" t="s">
        <v>397</v>
      </c>
      <c r="J90" s="50" t="str">
        <f aca="false">CO_ORDINATES(I90)</f>
        <v>55.9048166,26.5244173</v>
      </c>
      <c r="K90" s="47"/>
      <c r="L90" s="47"/>
      <c r="M90" s="46"/>
      <c r="N90" s="46"/>
      <c r="O90" s="46"/>
      <c r="P90" s="40"/>
      <c r="Q90" s="40"/>
      <c r="R90" s="46"/>
      <c r="S90" s="46"/>
      <c r="T90" s="46"/>
    </row>
    <row r="91" customFormat="false" ht="27" hidden="false" customHeight="false" outlineLevel="0" collapsed="false">
      <c r="A91" s="46"/>
      <c r="B91" s="47" t="s">
        <v>398</v>
      </c>
      <c r="C91" s="48" t="s">
        <v>90</v>
      </c>
      <c r="D91" s="46"/>
      <c r="E91" s="46" t="s">
        <v>399</v>
      </c>
      <c r="F91" s="46"/>
      <c r="G91" s="47" t="s">
        <v>400</v>
      </c>
      <c r="H91" s="49" t="str">
        <f aca="false">CO_ORDINATES(G91)</f>
        <v>55.8791772,26.539514765638465</v>
      </c>
      <c r="I91" s="47" t="s">
        <v>400</v>
      </c>
      <c r="J91" s="50" t="str">
        <f aca="false">CO_ORDINATES(I91)</f>
        <v>55.8791772,26.539514765638465</v>
      </c>
      <c r="K91" s="47"/>
      <c r="L91" s="47"/>
      <c r="M91" s="46"/>
      <c r="N91" s="46"/>
      <c r="O91" s="46"/>
      <c r="P91" s="40"/>
      <c r="Q91" s="40"/>
      <c r="R91" s="46"/>
      <c r="S91" s="46"/>
      <c r="T91" s="46"/>
    </row>
    <row r="92" customFormat="false" ht="27" hidden="false" customHeight="false" outlineLevel="0" collapsed="false">
      <c r="A92" s="46"/>
      <c r="B92" s="47" t="s">
        <v>401</v>
      </c>
      <c r="C92" s="48" t="s">
        <v>90</v>
      </c>
      <c r="D92" s="46"/>
      <c r="E92" s="46" t="s">
        <v>281</v>
      </c>
      <c r="F92" s="46"/>
      <c r="G92" s="47" t="s">
        <v>402</v>
      </c>
      <c r="H92" s="49" t="str">
        <f aca="false">CO_ORDINATES(G92)</f>
        <v>55.8814893,26.4997095</v>
      </c>
      <c r="I92" s="47" t="s">
        <v>402</v>
      </c>
      <c r="J92" s="50" t="str">
        <f aca="false">CO_ORDINATES(I92)</f>
        <v>55.8814893,26.4997095</v>
      </c>
      <c r="K92" s="47"/>
      <c r="L92" s="47"/>
      <c r="M92" s="46"/>
      <c r="N92" s="46"/>
      <c r="O92" s="46"/>
      <c r="P92" s="40"/>
      <c r="Q92" s="40"/>
      <c r="R92" s="46"/>
      <c r="S92" s="46"/>
      <c r="T92" s="46"/>
    </row>
    <row r="93" customFormat="false" ht="27" hidden="false" customHeight="false" outlineLevel="0" collapsed="false">
      <c r="A93" s="46"/>
      <c r="B93" s="47" t="s">
        <v>403</v>
      </c>
      <c r="C93" s="48" t="s">
        <v>90</v>
      </c>
      <c r="D93" s="46"/>
      <c r="E93" s="46" t="s">
        <v>404</v>
      </c>
      <c r="F93" s="46"/>
      <c r="G93" s="47" t="s">
        <v>405</v>
      </c>
      <c r="H93" s="49" t="str">
        <f aca="false">CO_ORDINATES(G93)</f>
        <v>55.880892349999996,26.5047759361483</v>
      </c>
      <c r="I93" s="47" t="s">
        <v>405</v>
      </c>
      <c r="J93" s="50" t="str">
        <f aca="false">CO_ORDINATES(I93)</f>
        <v>55.880892349999996,26.5047759361483</v>
      </c>
      <c r="K93" s="47"/>
      <c r="L93" s="47"/>
      <c r="M93" s="46"/>
      <c r="N93" s="46"/>
      <c r="O93" s="46"/>
      <c r="P93" s="40"/>
      <c r="Q93" s="40"/>
      <c r="R93" s="46"/>
      <c r="S93" s="46"/>
      <c r="T93" s="46"/>
    </row>
    <row r="94" customFormat="false" ht="41.25" hidden="false" customHeight="false" outlineLevel="0" collapsed="false">
      <c r="A94" s="46"/>
      <c r="B94" s="47" t="s">
        <v>406</v>
      </c>
      <c r="C94" s="48" t="s">
        <v>90</v>
      </c>
      <c r="D94" s="46"/>
      <c r="E94" s="46" t="s">
        <v>407</v>
      </c>
      <c r="F94" s="46"/>
      <c r="G94" s="47" t="s">
        <v>408</v>
      </c>
      <c r="H94" s="49" t="str">
        <f aca="false">CO_ORDINATES(G94)</f>
        <v>55.8747674,26.549251</v>
      </c>
      <c r="I94" s="47" t="s">
        <v>408</v>
      </c>
      <c r="J94" s="50" t="str">
        <f aca="false">CO_ORDINATES(I94)</f>
        <v>55.8747674,26.549251</v>
      </c>
      <c r="K94" s="47"/>
      <c r="L94" s="47"/>
      <c r="M94" s="46"/>
      <c r="N94" s="46"/>
      <c r="O94" s="46"/>
      <c r="P94" s="40"/>
      <c r="Q94" s="40"/>
      <c r="R94" s="46"/>
      <c r="S94" s="46"/>
      <c r="T94" s="46"/>
    </row>
    <row r="95" customFormat="false" ht="27" hidden="false" customHeight="false" outlineLevel="0" collapsed="false">
      <c r="A95" s="46"/>
      <c r="B95" s="47" t="s">
        <v>409</v>
      </c>
      <c r="C95" s="48" t="s">
        <v>90</v>
      </c>
      <c r="D95" s="46"/>
      <c r="E95" s="46" t="s">
        <v>410</v>
      </c>
      <c r="F95" s="46"/>
      <c r="G95" s="47" t="s">
        <v>411</v>
      </c>
      <c r="H95" s="51" t="e">
        <f aca="false">CO_ORDINATES(G95)</f>
        <v>#VALUE!</v>
      </c>
      <c r="I95" s="47" t="s">
        <v>411</v>
      </c>
      <c r="J95" s="52" t="e">
        <f aca="false">CO_ORDINATES(I95)</f>
        <v>#VALUE!</v>
      </c>
      <c r="K95" s="47"/>
      <c r="L95" s="47"/>
      <c r="M95" s="46"/>
      <c r="N95" s="46"/>
      <c r="O95" s="46"/>
      <c r="P95" s="40"/>
      <c r="Q95" s="40"/>
      <c r="R95" s="46"/>
      <c r="S95" s="46"/>
      <c r="T95" s="46"/>
    </row>
    <row r="96" customFormat="false" ht="27" hidden="false" customHeight="false" outlineLevel="0" collapsed="false">
      <c r="A96" s="46"/>
      <c r="B96" s="47" t="s">
        <v>412</v>
      </c>
      <c r="C96" s="48" t="s">
        <v>90</v>
      </c>
      <c r="D96" s="46"/>
      <c r="E96" s="46" t="s">
        <v>413</v>
      </c>
      <c r="F96" s="46"/>
      <c r="G96" s="47" t="s">
        <v>414</v>
      </c>
      <c r="H96" s="49" t="str">
        <f aca="false">CO_ORDINATES(G96)</f>
        <v>55.8746158,26.5104389</v>
      </c>
      <c r="I96" s="47" t="s">
        <v>414</v>
      </c>
      <c r="J96" s="50" t="str">
        <f aca="false">CO_ORDINATES(I96)</f>
        <v>55.8746158,26.5104389</v>
      </c>
      <c r="K96" s="47"/>
      <c r="L96" s="47"/>
      <c r="M96" s="46"/>
      <c r="N96" s="46"/>
      <c r="O96" s="46"/>
      <c r="P96" s="40"/>
      <c r="Q96" s="40"/>
      <c r="R96" s="46"/>
      <c r="S96" s="46"/>
      <c r="T96" s="46"/>
    </row>
    <row r="97" customFormat="false" ht="27" hidden="false" customHeight="false" outlineLevel="0" collapsed="false">
      <c r="A97" s="46"/>
      <c r="B97" s="47" t="s">
        <v>415</v>
      </c>
      <c r="C97" s="48" t="s">
        <v>90</v>
      </c>
      <c r="D97" s="46"/>
      <c r="E97" s="46" t="s">
        <v>416</v>
      </c>
      <c r="F97" s="46"/>
      <c r="G97" s="47" t="s">
        <v>417</v>
      </c>
      <c r="H97" s="49" t="str">
        <f aca="false">CO_ORDINATES(G97)</f>
        <v>55.8760632,26.5457929</v>
      </c>
      <c r="I97" s="47" t="s">
        <v>417</v>
      </c>
      <c r="J97" s="50" t="str">
        <f aca="false">CO_ORDINATES(I97)</f>
        <v>55.8760632,26.5457929</v>
      </c>
      <c r="K97" s="47"/>
      <c r="L97" s="47"/>
      <c r="M97" s="46"/>
      <c r="N97" s="46"/>
      <c r="O97" s="46"/>
      <c r="P97" s="40"/>
      <c r="Q97" s="40"/>
      <c r="R97" s="46"/>
      <c r="S97" s="46"/>
      <c r="T97" s="46"/>
    </row>
    <row r="98" customFormat="false" ht="41.25" hidden="false" customHeight="false" outlineLevel="0" collapsed="false">
      <c r="A98" s="46"/>
      <c r="B98" s="47" t="s">
        <v>418</v>
      </c>
      <c r="C98" s="48" t="s">
        <v>90</v>
      </c>
      <c r="D98" s="46"/>
      <c r="E98" s="46" t="s">
        <v>419</v>
      </c>
      <c r="F98" s="46"/>
      <c r="G98" s="47" t="s">
        <v>420</v>
      </c>
      <c r="H98" s="49" t="str">
        <f aca="false">CO_ORDINATES(G98)</f>
        <v>55.8781454,26.5179656</v>
      </c>
      <c r="I98" s="47" t="s">
        <v>420</v>
      </c>
      <c r="J98" s="50" t="str">
        <f aca="false">CO_ORDINATES(I98)</f>
        <v>55.8781454,26.5179656</v>
      </c>
      <c r="K98" s="47"/>
      <c r="L98" s="47"/>
      <c r="M98" s="46"/>
      <c r="N98" s="46"/>
      <c r="O98" s="46"/>
      <c r="P98" s="40"/>
      <c r="Q98" s="40"/>
      <c r="R98" s="46"/>
      <c r="S98" s="46"/>
      <c r="T98" s="46"/>
    </row>
    <row r="99" customFormat="false" ht="54.75" hidden="false" customHeight="false" outlineLevel="0" collapsed="false">
      <c r="A99" s="46"/>
      <c r="B99" s="47" t="s">
        <v>421</v>
      </c>
      <c r="C99" s="48" t="s">
        <v>90</v>
      </c>
      <c r="D99" s="46"/>
      <c r="E99" s="46" t="s">
        <v>206</v>
      </c>
      <c r="F99" s="46"/>
      <c r="G99" s="47" t="s">
        <v>422</v>
      </c>
      <c r="H99" s="51" t="e">
        <f aca="false">CO_ORDINATES(G99)</f>
        <v>#VALUE!</v>
      </c>
      <c r="I99" s="47" t="s">
        <v>422</v>
      </c>
      <c r="J99" s="52" t="e">
        <f aca="false">CO_ORDINATES(I99)</f>
        <v>#VALUE!</v>
      </c>
      <c r="K99" s="47"/>
      <c r="L99" s="47"/>
      <c r="M99" s="46"/>
      <c r="N99" s="46"/>
      <c r="O99" s="46"/>
      <c r="P99" s="40"/>
      <c r="Q99" s="40"/>
      <c r="R99" s="46"/>
      <c r="S99" s="46"/>
      <c r="T99" s="46"/>
    </row>
    <row r="100" customFormat="false" ht="27" hidden="false" customHeight="false" outlineLevel="0" collapsed="false">
      <c r="A100" s="46"/>
      <c r="B100" s="47" t="s">
        <v>423</v>
      </c>
      <c r="C100" s="48" t="s">
        <v>90</v>
      </c>
      <c r="D100" s="46"/>
      <c r="E100" s="46" t="s">
        <v>424</v>
      </c>
      <c r="F100" s="46"/>
      <c r="G100" s="47" t="s">
        <v>425</v>
      </c>
      <c r="H100" s="49" t="str">
        <f aca="false">CO_ORDINATES(G100)</f>
        <v>55.8701511,26.5604589</v>
      </c>
      <c r="I100" s="47" t="s">
        <v>425</v>
      </c>
      <c r="J100" s="50" t="str">
        <f aca="false">CO_ORDINATES(I100)</f>
        <v>55.8701511,26.5604589</v>
      </c>
      <c r="K100" s="47"/>
      <c r="L100" s="47"/>
      <c r="M100" s="46"/>
      <c r="N100" s="46"/>
      <c r="O100" s="46"/>
      <c r="P100" s="40"/>
      <c r="Q100" s="40"/>
      <c r="R100" s="46"/>
      <c r="S100" s="46"/>
      <c r="T100" s="46"/>
    </row>
    <row r="101" customFormat="false" ht="27" hidden="false" customHeight="false" outlineLevel="0" collapsed="false">
      <c r="A101" s="46"/>
      <c r="B101" s="47" t="s">
        <v>426</v>
      </c>
      <c r="C101" s="48" t="s">
        <v>90</v>
      </c>
      <c r="D101" s="46"/>
      <c r="E101" s="46" t="s">
        <v>427</v>
      </c>
      <c r="F101" s="46"/>
      <c r="G101" s="47" t="s">
        <v>428</v>
      </c>
      <c r="H101" s="49" t="str">
        <f aca="false">CO_ORDINATES(G101)</f>
        <v>55.881539149999995,26.516980762916358</v>
      </c>
      <c r="I101" s="47" t="s">
        <v>428</v>
      </c>
      <c r="J101" s="50" t="str">
        <f aca="false">CO_ORDINATES(I101)</f>
        <v>55.881539149999995,26.516980762916358</v>
      </c>
      <c r="K101" s="47"/>
      <c r="L101" s="47"/>
      <c r="M101" s="46"/>
      <c r="N101" s="46"/>
      <c r="O101" s="46"/>
      <c r="P101" s="40"/>
      <c r="Q101" s="40"/>
      <c r="R101" s="46"/>
      <c r="S101" s="46"/>
      <c r="T101" s="46"/>
    </row>
    <row r="102" customFormat="false" ht="54.75" hidden="false" customHeight="false" outlineLevel="0" collapsed="false">
      <c r="A102" s="46"/>
      <c r="B102" s="47" t="s">
        <v>429</v>
      </c>
      <c r="C102" s="48" t="s">
        <v>90</v>
      </c>
      <c r="D102" s="46"/>
      <c r="E102" s="46" t="s">
        <v>430</v>
      </c>
      <c r="F102" s="46"/>
      <c r="G102" s="47" t="s">
        <v>431</v>
      </c>
      <c r="H102" s="49" t="str">
        <f aca="false">CO_ORDINATES(G102)</f>
        <v>55.9029381,26.64867455</v>
      </c>
      <c r="I102" s="47" t="s">
        <v>431</v>
      </c>
      <c r="J102" s="50" t="str">
        <f aca="false">CO_ORDINATES(I102)</f>
        <v>55.9029381,26.64867455</v>
      </c>
      <c r="K102" s="47"/>
      <c r="L102" s="47"/>
      <c r="M102" s="46"/>
      <c r="N102" s="46"/>
      <c r="O102" s="46"/>
      <c r="P102" s="40"/>
      <c r="Q102" s="40"/>
      <c r="R102" s="46"/>
      <c r="S102" s="46"/>
      <c r="T102" s="46"/>
    </row>
    <row r="103" customFormat="false" ht="27" hidden="false" customHeight="false" outlineLevel="0" collapsed="false">
      <c r="A103" s="46"/>
      <c r="B103" s="47" t="s">
        <v>432</v>
      </c>
      <c r="C103" s="48" t="s">
        <v>90</v>
      </c>
      <c r="D103" s="46"/>
      <c r="E103" s="46" t="s">
        <v>433</v>
      </c>
      <c r="F103" s="46"/>
      <c r="G103" s="47" t="s">
        <v>434</v>
      </c>
      <c r="H103" s="49" t="str">
        <f aca="false">CO_ORDINATES(G103)</f>
        <v>55.8672285,26.6023617</v>
      </c>
      <c r="I103" s="47" t="s">
        <v>434</v>
      </c>
      <c r="J103" s="50" t="str">
        <f aca="false">CO_ORDINATES(I103)</f>
        <v>55.8672285,26.6023617</v>
      </c>
      <c r="K103" s="47"/>
      <c r="L103" s="47"/>
      <c r="M103" s="46"/>
      <c r="N103" s="46"/>
      <c r="O103" s="46"/>
      <c r="P103" s="40"/>
      <c r="Q103" s="40"/>
      <c r="R103" s="46"/>
      <c r="S103" s="46"/>
      <c r="T103" s="46"/>
    </row>
    <row r="104" customFormat="false" ht="54.75" hidden="false" customHeight="false" outlineLevel="0" collapsed="false">
      <c r="A104" s="46"/>
      <c r="B104" s="47" t="s">
        <v>435</v>
      </c>
      <c r="C104" s="48" t="s">
        <v>90</v>
      </c>
      <c r="D104" s="46"/>
      <c r="E104" s="46" t="s">
        <v>436</v>
      </c>
      <c r="F104" s="46"/>
      <c r="G104" s="47" t="s">
        <v>437</v>
      </c>
      <c r="H104" s="51" t="e">
        <f aca="false">CO_ORDINATES(G104)</f>
        <v>#VALUE!</v>
      </c>
      <c r="I104" s="47" t="s">
        <v>437</v>
      </c>
      <c r="J104" s="52" t="e">
        <f aca="false">CO_ORDINATES(I104)</f>
        <v>#VALUE!</v>
      </c>
      <c r="K104" s="47"/>
      <c r="L104" s="47"/>
      <c r="M104" s="46"/>
      <c r="N104" s="46"/>
      <c r="O104" s="46"/>
      <c r="P104" s="40"/>
      <c r="Q104" s="40"/>
      <c r="R104" s="46"/>
      <c r="S104" s="46"/>
      <c r="T104" s="46"/>
    </row>
    <row r="105" customFormat="false" ht="27" hidden="false" customHeight="false" outlineLevel="0" collapsed="false">
      <c r="A105" s="46"/>
      <c r="B105" s="47" t="s">
        <v>438</v>
      </c>
      <c r="C105" s="48" t="s">
        <v>90</v>
      </c>
      <c r="D105" s="46"/>
      <c r="E105" s="46" t="s">
        <v>439</v>
      </c>
      <c r="F105" s="46"/>
      <c r="G105" s="47" t="s">
        <v>440</v>
      </c>
      <c r="H105" s="49" t="str">
        <f aca="false">CO_ORDINATES(G105)</f>
        <v>55.866058100000004,26.52671347836595</v>
      </c>
      <c r="I105" s="47" t="s">
        <v>440</v>
      </c>
      <c r="J105" s="50" t="str">
        <f aca="false">CO_ORDINATES(I105)</f>
        <v>55.866058100000004,26.52671347836595</v>
      </c>
      <c r="K105" s="47"/>
      <c r="L105" s="47"/>
      <c r="M105" s="46"/>
      <c r="N105" s="46"/>
      <c r="O105" s="46"/>
      <c r="P105" s="40"/>
      <c r="Q105" s="40"/>
      <c r="R105" s="46"/>
      <c r="S105" s="46"/>
      <c r="T105" s="46"/>
    </row>
    <row r="106" customFormat="false" ht="27" hidden="false" customHeight="false" outlineLevel="0" collapsed="false">
      <c r="A106" s="46"/>
      <c r="B106" s="47" t="s">
        <v>441</v>
      </c>
      <c r="C106" s="48" t="s">
        <v>90</v>
      </c>
      <c r="D106" s="46"/>
      <c r="E106" s="46" t="s">
        <v>442</v>
      </c>
      <c r="F106" s="46"/>
      <c r="G106" s="47" t="s">
        <v>443</v>
      </c>
      <c r="H106" s="49" t="str">
        <f aca="false">CO_ORDINATES(G106)</f>
        <v>55.892775,26.543211600490558</v>
      </c>
      <c r="I106" s="47" t="s">
        <v>443</v>
      </c>
      <c r="J106" s="50" t="str">
        <f aca="false">CO_ORDINATES(I106)</f>
        <v>55.892775,26.543211600490558</v>
      </c>
      <c r="K106" s="47"/>
      <c r="L106" s="47"/>
      <c r="M106" s="46"/>
      <c r="N106" s="46"/>
      <c r="O106" s="46"/>
      <c r="P106" s="40"/>
      <c r="Q106" s="40"/>
      <c r="R106" s="46"/>
      <c r="S106" s="46"/>
      <c r="T106" s="46"/>
    </row>
    <row r="107" customFormat="false" ht="27" hidden="false" customHeight="false" outlineLevel="0" collapsed="false">
      <c r="A107" s="46"/>
      <c r="B107" s="47" t="s">
        <v>444</v>
      </c>
      <c r="C107" s="48" t="s">
        <v>90</v>
      </c>
      <c r="D107" s="46"/>
      <c r="E107" s="46" t="s">
        <v>445</v>
      </c>
      <c r="F107" s="46"/>
      <c r="G107" s="47" t="s">
        <v>446</v>
      </c>
      <c r="H107" s="49" t="str">
        <f aca="false">CO_ORDINATES(G107)</f>
        <v>55.908566,26.4512691</v>
      </c>
      <c r="I107" s="47" t="s">
        <v>446</v>
      </c>
      <c r="J107" s="50" t="str">
        <f aca="false">CO_ORDINATES(I107)</f>
        <v>55.908566,26.4512691</v>
      </c>
      <c r="K107" s="47"/>
      <c r="L107" s="47"/>
      <c r="M107" s="46"/>
      <c r="N107" s="46"/>
      <c r="O107" s="46"/>
      <c r="P107" s="40"/>
      <c r="Q107" s="40"/>
      <c r="R107" s="46"/>
      <c r="S107" s="46"/>
      <c r="T107" s="46"/>
    </row>
    <row r="108" customFormat="false" ht="27" hidden="false" customHeight="false" outlineLevel="0" collapsed="false">
      <c r="A108" s="46"/>
      <c r="B108" s="47" t="s">
        <v>447</v>
      </c>
      <c r="C108" s="48" t="s">
        <v>90</v>
      </c>
      <c r="D108" s="46"/>
      <c r="E108" s="46" t="s">
        <v>214</v>
      </c>
      <c r="F108" s="46"/>
      <c r="G108" s="47" t="s">
        <v>251</v>
      </c>
      <c r="H108" s="49" t="str">
        <f aca="false">CO_ORDINATES(G108)</f>
        <v>55.8973548,26.561578902688808</v>
      </c>
      <c r="I108" s="47" t="s">
        <v>251</v>
      </c>
      <c r="J108" s="50" t="str">
        <f aca="false">CO_ORDINATES(I108)</f>
        <v>55.8973548,26.561578902688808</v>
      </c>
      <c r="K108" s="47"/>
      <c r="L108" s="47"/>
      <c r="M108" s="46"/>
      <c r="N108" s="46"/>
      <c r="O108" s="46"/>
      <c r="P108" s="40"/>
      <c r="Q108" s="40"/>
      <c r="R108" s="46"/>
      <c r="S108" s="46"/>
      <c r="T108" s="46"/>
    </row>
    <row r="109" customFormat="false" ht="41.25" hidden="false" customHeight="false" outlineLevel="0" collapsed="false">
      <c r="A109" s="46"/>
      <c r="B109" s="47" t="s">
        <v>448</v>
      </c>
      <c r="C109" s="48" t="s">
        <v>90</v>
      </c>
      <c r="D109" s="46"/>
      <c r="E109" s="46" t="s">
        <v>449</v>
      </c>
      <c r="F109" s="46"/>
      <c r="G109" s="47" t="s">
        <v>450</v>
      </c>
      <c r="H109" s="51" t="e">
        <f aca="false">CO_ORDINATES(G109)</f>
        <v>#VALUE!</v>
      </c>
      <c r="I109" s="47" t="s">
        <v>450</v>
      </c>
      <c r="J109" s="52" t="e">
        <f aca="false">CO_ORDINATES(I109)</f>
        <v>#VALUE!</v>
      </c>
      <c r="K109" s="47"/>
      <c r="L109" s="47"/>
      <c r="M109" s="46"/>
      <c r="N109" s="46"/>
      <c r="O109" s="46"/>
      <c r="P109" s="40"/>
      <c r="Q109" s="40"/>
      <c r="R109" s="46"/>
      <c r="S109" s="46"/>
      <c r="T109" s="46"/>
    </row>
    <row r="110" customFormat="false" ht="27" hidden="false" customHeight="false" outlineLevel="0" collapsed="false">
      <c r="A110" s="46"/>
      <c r="B110" s="47" t="s">
        <v>451</v>
      </c>
      <c r="C110" s="48" t="s">
        <v>90</v>
      </c>
      <c r="D110" s="46"/>
      <c r="E110" s="46" t="s">
        <v>452</v>
      </c>
      <c r="F110" s="46"/>
      <c r="G110" s="47" t="s">
        <v>453</v>
      </c>
      <c r="H110" s="49" t="str">
        <f aca="false">CO_ORDINATES(G110)</f>
        <v>55.9014717,26.4760694</v>
      </c>
      <c r="I110" s="47" t="s">
        <v>453</v>
      </c>
      <c r="J110" s="50" t="str">
        <f aca="false">CO_ORDINATES(I110)</f>
        <v>55.9014717,26.4760694</v>
      </c>
      <c r="K110" s="47"/>
      <c r="L110" s="47"/>
      <c r="M110" s="46"/>
      <c r="N110" s="46"/>
      <c r="O110" s="46"/>
      <c r="P110" s="40"/>
      <c r="Q110" s="40"/>
      <c r="R110" s="46"/>
      <c r="S110" s="46"/>
      <c r="T110" s="46"/>
    </row>
    <row r="111" customFormat="false" ht="27" hidden="false" customHeight="false" outlineLevel="0" collapsed="false">
      <c r="A111" s="46"/>
      <c r="B111" s="47" t="s">
        <v>454</v>
      </c>
      <c r="C111" s="48" t="s">
        <v>90</v>
      </c>
      <c r="D111" s="46"/>
      <c r="E111" s="46" t="s">
        <v>455</v>
      </c>
      <c r="F111" s="46"/>
      <c r="G111" s="47" t="s">
        <v>456</v>
      </c>
      <c r="H111" s="49" t="str">
        <f aca="false">CO_ORDINATES(G111)</f>
        <v>55.84057465,26.49389755</v>
      </c>
      <c r="I111" s="47" t="s">
        <v>456</v>
      </c>
      <c r="J111" s="50" t="str">
        <f aca="false">CO_ORDINATES(I111)</f>
        <v>55.84057465,26.49389755</v>
      </c>
      <c r="K111" s="47"/>
      <c r="L111" s="47"/>
      <c r="M111" s="46"/>
      <c r="N111" s="46"/>
      <c r="O111" s="46"/>
      <c r="P111" s="40"/>
      <c r="Q111" s="40"/>
      <c r="R111" s="46"/>
      <c r="S111" s="46"/>
      <c r="T111" s="46"/>
    </row>
    <row r="112" customFormat="false" ht="27" hidden="false" customHeight="false" outlineLevel="0" collapsed="false">
      <c r="A112" s="46"/>
      <c r="B112" s="47" t="s">
        <v>457</v>
      </c>
      <c r="C112" s="48" t="s">
        <v>90</v>
      </c>
      <c r="D112" s="46"/>
      <c r="E112" s="46" t="s">
        <v>458</v>
      </c>
      <c r="F112" s="46"/>
      <c r="G112" s="47" t="s">
        <v>459</v>
      </c>
      <c r="H112" s="49" t="str">
        <f aca="false">CO_ORDINATES(G112)</f>
        <v>55.8731869,26.5412122</v>
      </c>
      <c r="I112" s="47" t="s">
        <v>459</v>
      </c>
      <c r="J112" s="50" t="str">
        <f aca="false">CO_ORDINATES(I112)</f>
        <v>55.8731869,26.5412122</v>
      </c>
      <c r="K112" s="47"/>
      <c r="L112" s="47"/>
      <c r="M112" s="46"/>
      <c r="N112" s="46"/>
      <c r="O112" s="46"/>
      <c r="P112" s="40"/>
      <c r="Q112" s="40"/>
      <c r="R112" s="46"/>
      <c r="S112" s="46"/>
      <c r="T112" s="46"/>
    </row>
    <row r="113" customFormat="false" ht="27" hidden="false" customHeight="false" outlineLevel="0" collapsed="false">
      <c r="A113" s="46"/>
      <c r="B113" s="47" t="s">
        <v>460</v>
      </c>
      <c r="C113" s="48" t="s">
        <v>90</v>
      </c>
      <c r="D113" s="46"/>
      <c r="E113" s="46" t="s">
        <v>461</v>
      </c>
      <c r="F113" s="46"/>
      <c r="G113" s="47" t="s">
        <v>462</v>
      </c>
      <c r="H113" s="49" t="str">
        <f aca="false">CO_ORDINATES(G113)</f>
        <v>55.867761400000006,26.55706585797546</v>
      </c>
      <c r="I113" s="47" t="s">
        <v>462</v>
      </c>
      <c r="J113" s="50" t="str">
        <f aca="false">CO_ORDINATES(I113)</f>
        <v>55.867761400000006,26.55706585797546</v>
      </c>
      <c r="K113" s="47"/>
      <c r="L113" s="47"/>
      <c r="M113" s="46"/>
      <c r="N113" s="46"/>
      <c r="O113" s="46"/>
      <c r="P113" s="40"/>
      <c r="Q113" s="40"/>
      <c r="R113" s="46"/>
      <c r="S113" s="46"/>
      <c r="T113" s="46"/>
    </row>
    <row r="114" customFormat="false" ht="27" hidden="false" customHeight="false" outlineLevel="0" collapsed="false">
      <c r="A114" s="46"/>
      <c r="B114" s="47" t="s">
        <v>463</v>
      </c>
      <c r="C114" s="48" t="s">
        <v>90</v>
      </c>
      <c r="D114" s="46"/>
      <c r="E114" s="46" t="s">
        <v>464</v>
      </c>
      <c r="F114" s="46"/>
      <c r="G114" s="47" t="s">
        <v>465</v>
      </c>
      <c r="H114" s="49" t="str">
        <f aca="false">CO_ORDINATES(G114)</f>
        <v>55.8854269,26.5368256</v>
      </c>
      <c r="I114" s="47" t="s">
        <v>465</v>
      </c>
      <c r="J114" s="50" t="str">
        <f aca="false">CO_ORDINATES(I114)</f>
        <v>55.8854269,26.5368256</v>
      </c>
      <c r="K114" s="47"/>
      <c r="L114" s="47"/>
      <c r="M114" s="46"/>
      <c r="N114" s="46"/>
      <c r="O114" s="46"/>
      <c r="P114" s="40"/>
      <c r="Q114" s="40"/>
      <c r="R114" s="46"/>
      <c r="S114" s="46"/>
      <c r="T114" s="46"/>
    </row>
    <row r="115" customFormat="false" ht="27" hidden="false" customHeight="false" outlineLevel="0" collapsed="false">
      <c r="A115" s="46"/>
      <c r="B115" s="47" t="s">
        <v>466</v>
      </c>
      <c r="C115" s="48" t="s">
        <v>90</v>
      </c>
      <c r="D115" s="46"/>
      <c r="E115" s="46" t="s">
        <v>467</v>
      </c>
      <c r="F115" s="46"/>
      <c r="G115" s="47" t="s">
        <v>468</v>
      </c>
      <c r="H115" s="49" t="str">
        <f aca="false">CO_ORDINATES(G115)</f>
        <v>55.8787363,26.512905663461535</v>
      </c>
      <c r="I115" s="47" t="s">
        <v>468</v>
      </c>
      <c r="J115" s="50" t="str">
        <f aca="false">CO_ORDINATES(I115)</f>
        <v>55.8787363,26.512905663461535</v>
      </c>
      <c r="K115" s="47"/>
      <c r="L115" s="47"/>
      <c r="M115" s="46"/>
      <c r="N115" s="46"/>
      <c r="O115" s="46"/>
      <c r="P115" s="40"/>
      <c r="Q115" s="40"/>
      <c r="R115" s="46"/>
      <c r="S115" s="46"/>
      <c r="T115" s="46"/>
    </row>
    <row r="116" customFormat="false" ht="27" hidden="false" customHeight="false" outlineLevel="0" collapsed="false">
      <c r="A116" s="46"/>
      <c r="B116" s="47" t="s">
        <v>469</v>
      </c>
      <c r="C116" s="48" t="s">
        <v>90</v>
      </c>
      <c r="D116" s="46"/>
      <c r="E116" s="46" t="s">
        <v>470</v>
      </c>
      <c r="F116" s="46"/>
      <c r="G116" s="47" t="s">
        <v>471</v>
      </c>
      <c r="H116" s="51" t="e">
        <f aca="false">CO_ORDINATES(G116)</f>
        <v>#VALUE!</v>
      </c>
      <c r="I116" s="47" t="s">
        <v>471</v>
      </c>
      <c r="J116" s="52" t="e">
        <f aca="false">CO_ORDINATES(I116)</f>
        <v>#VALUE!</v>
      </c>
      <c r="K116" s="47"/>
      <c r="L116" s="47"/>
      <c r="M116" s="46"/>
      <c r="N116" s="46"/>
      <c r="O116" s="46"/>
      <c r="P116" s="40"/>
      <c r="Q116" s="40"/>
      <c r="R116" s="46"/>
      <c r="S116" s="46"/>
      <c r="T116" s="46"/>
    </row>
    <row r="117" customFormat="false" ht="27" hidden="false" customHeight="false" outlineLevel="0" collapsed="false">
      <c r="A117" s="46"/>
      <c r="B117" s="47" t="s">
        <v>472</v>
      </c>
      <c r="C117" s="48" t="s">
        <v>90</v>
      </c>
      <c r="D117" s="46"/>
      <c r="E117" s="46" t="s">
        <v>473</v>
      </c>
      <c r="F117" s="46"/>
      <c r="G117" s="47" t="s">
        <v>474</v>
      </c>
      <c r="H117" s="49" t="str">
        <f aca="false">CO_ORDINATES(G117)</f>
        <v>55.9044998,26.531814</v>
      </c>
      <c r="I117" s="47" t="s">
        <v>474</v>
      </c>
      <c r="J117" s="50" t="str">
        <f aca="false">CO_ORDINATES(I117)</f>
        <v>55.9044998,26.531814</v>
      </c>
      <c r="K117" s="47"/>
      <c r="L117" s="47"/>
      <c r="M117" s="46"/>
      <c r="N117" s="46"/>
      <c r="O117" s="46"/>
      <c r="P117" s="40"/>
      <c r="Q117" s="40"/>
      <c r="R117" s="46"/>
      <c r="S117" s="46"/>
      <c r="T117" s="46"/>
    </row>
    <row r="118" customFormat="false" ht="27" hidden="false" customHeight="false" outlineLevel="0" collapsed="false">
      <c r="A118" s="46"/>
      <c r="B118" s="47" t="s">
        <v>475</v>
      </c>
      <c r="C118" s="48" t="s">
        <v>90</v>
      </c>
      <c r="D118" s="46"/>
      <c r="E118" s="46" t="s">
        <v>476</v>
      </c>
      <c r="F118" s="46"/>
      <c r="G118" s="47" t="s">
        <v>477</v>
      </c>
      <c r="H118" s="49" t="str">
        <f aca="false">CO_ORDINATES(G118)</f>
        <v>55.8788789,26.5270894</v>
      </c>
      <c r="I118" s="47" t="s">
        <v>477</v>
      </c>
      <c r="J118" s="50" t="str">
        <f aca="false">CO_ORDINATES(I118)</f>
        <v>55.8788789,26.5270894</v>
      </c>
      <c r="K118" s="47"/>
      <c r="L118" s="47"/>
      <c r="M118" s="46"/>
      <c r="N118" s="46"/>
      <c r="O118" s="46"/>
      <c r="P118" s="40"/>
      <c r="Q118" s="40"/>
      <c r="R118" s="46"/>
      <c r="S118" s="46"/>
      <c r="T118" s="46"/>
    </row>
    <row r="119" customFormat="false" ht="54.75" hidden="false" customHeight="false" outlineLevel="0" collapsed="false">
      <c r="A119" s="46"/>
      <c r="B119" s="47" t="s">
        <v>478</v>
      </c>
      <c r="C119" s="48" t="s">
        <v>90</v>
      </c>
      <c r="D119" s="46"/>
      <c r="E119" s="46" t="s">
        <v>479</v>
      </c>
      <c r="F119" s="46"/>
      <c r="G119" s="47" t="s">
        <v>480</v>
      </c>
      <c r="H119" s="49" t="str">
        <f aca="false">CO_ORDINATES(G119)</f>
        <v>55.8335968,26.4884448</v>
      </c>
      <c r="I119" s="47" t="s">
        <v>480</v>
      </c>
      <c r="J119" s="50" t="str">
        <f aca="false">CO_ORDINATES(I119)</f>
        <v>55.8335968,26.4884448</v>
      </c>
      <c r="K119" s="47"/>
      <c r="L119" s="47"/>
      <c r="M119" s="46"/>
      <c r="N119" s="46"/>
      <c r="O119" s="46"/>
      <c r="P119" s="40"/>
      <c r="Q119" s="40"/>
      <c r="R119" s="46"/>
      <c r="S119" s="46"/>
      <c r="T119" s="46"/>
    </row>
    <row r="120" customFormat="false" ht="54.75" hidden="false" customHeight="false" outlineLevel="0" collapsed="false">
      <c r="A120" s="46"/>
      <c r="B120" s="47" t="s">
        <v>481</v>
      </c>
      <c r="C120" s="48" t="s">
        <v>90</v>
      </c>
      <c r="D120" s="46"/>
      <c r="E120" s="46" t="s">
        <v>482</v>
      </c>
      <c r="F120" s="46"/>
      <c r="G120" s="47" t="s">
        <v>483</v>
      </c>
      <c r="H120" s="51" t="e">
        <f aca="false">CO_ORDINATES(G120)</f>
        <v>#VALUE!</v>
      </c>
      <c r="I120" s="47" t="s">
        <v>483</v>
      </c>
      <c r="J120" s="52" t="e">
        <f aca="false">CO_ORDINATES(I120)</f>
        <v>#VALUE!</v>
      </c>
      <c r="K120" s="47"/>
      <c r="L120" s="47"/>
      <c r="M120" s="46"/>
      <c r="N120" s="46"/>
      <c r="O120" s="46"/>
      <c r="P120" s="40"/>
      <c r="Q120" s="40"/>
      <c r="R120" s="46"/>
      <c r="S120" s="46"/>
      <c r="T120" s="46"/>
    </row>
    <row r="121" customFormat="false" ht="27" hidden="false" customHeight="false" outlineLevel="0" collapsed="false">
      <c r="A121" s="46"/>
      <c r="B121" s="47" t="s">
        <v>484</v>
      </c>
      <c r="C121" s="48" t="s">
        <v>90</v>
      </c>
      <c r="D121" s="46"/>
      <c r="E121" s="46" t="s">
        <v>485</v>
      </c>
      <c r="F121" s="46"/>
      <c r="G121" s="47" t="s">
        <v>486</v>
      </c>
      <c r="H121" s="49" t="str">
        <f aca="false">CO_ORDINATES(G121)</f>
        <v>55.8725174,26.5482082</v>
      </c>
      <c r="I121" s="47" t="s">
        <v>486</v>
      </c>
      <c r="J121" s="50" t="str">
        <f aca="false">CO_ORDINATES(I121)</f>
        <v>55.8725174,26.5482082</v>
      </c>
      <c r="K121" s="47"/>
      <c r="L121" s="47"/>
      <c r="M121" s="46"/>
      <c r="N121" s="46"/>
      <c r="O121" s="46"/>
      <c r="P121" s="40"/>
      <c r="Q121" s="40"/>
      <c r="R121" s="46"/>
      <c r="S121" s="46"/>
      <c r="T121" s="46"/>
    </row>
    <row r="122" customFormat="false" ht="54.75" hidden="false" customHeight="false" outlineLevel="0" collapsed="false">
      <c r="A122" s="46"/>
      <c r="B122" s="47" t="s">
        <v>487</v>
      </c>
      <c r="C122" s="48" t="s">
        <v>90</v>
      </c>
      <c r="D122" s="46"/>
      <c r="E122" s="46" t="s">
        <v>488</v>
      </c>
      <c r="F122" s="46"/>
      <c r="G122" s="47" t="s">
        <v>489</v>
      </c>
      <c r="H122" s="51" t="e">
        <f aca="false">CO_ORDINATES(G122)</f>
        <v>#VALUE!</v>
      </c>
      <c r="I122" s="47" t="s">
        <v>489</v>
      </c>
      <c r="J122" s="52" t="e">
        <f aca="false">CO_ORDINATES(I122)</f>
        <v>#VALUE!</v>
      </c>
      <c r="K122" s="47"/>
      <c r="L122" s="47"/>
      <c r="M122" s="46"/>
      <c r="N122" s="46"/>
      <c r="O122" s="46"/>
      <c r="P122" s="40"/>
      <c r="Q122" s="40"/>
      <c r="R122" s="46"/>
      <c r="S122" s="46"/>
      <c r="T122" s="46"/>
    </row>
    <row r="123" customFormat="false" ht="27" hidden="false" customHeight="false" outlineLevel="0" collapsed="false">
      <c r="A123" s="46"/>
      <c r="B123" s="47" t="s">
        <v>490</v>
      </c>
      <c r="C123" s="48" t="s">
        <v>90</v>
      </c>
      <c r="D123" s="46"/>
      <c r="E123" s="46" t="s">
        <v>491</v>
      </c>
      <c r="F123" s="46"/>
      <c r="G123" s="47" t="s">
        <v>492</v>
      </c>
      <c r="H123" s="49" t="str">
        <f aca="false">CO_ORDINATES(G123)</f>
        <v>55.8633683,26.5865554</v>
      </c>
      <c r="I123" s="47" t="s">
        <v>492</v>
      </c>
      <c r="J123" s="50" t="str">
        <f aca="false">CO_ORDINATES(I123)</f>
        <v>55.8633683,26.5865554</v>
      </c>
      <c r="K123" s="47"/>
      <c r="L123" s="47"/>
      <c r="M123" s="46"/>
      <c r="N123" s="46"/>
      <c r="O123" s="46"/>
      <c r="P123" s="40"/>
      <c r="Q123" s="40"/>
      <c r="R123" s="46"/>
      <c r="S123" s="46"/>
      <c r="T123" s="46"/>
    </row>
    <row r="124" customFormat="false" ht="54.75" hidden="false" customHeight="false" outlineLevel="0" collapsed="false">
      <c r="A124" s="46"/>
      <c r="B124" s="47" t="s">
        <v>493</v>
      </c>
      <c r="C124" s="48" t="s">
        <v>90</v>
      </c>
      <c r="D124" s="46"/>
      <c r="E124" s="46" t="s">
        <v>494</v>
      </c>
      <c r="F124" s="46"/>
      <c r="G124" s="47" t="s">
        <v>495</v>
      </c>
      <c r="H124" s="49" t="str">
        <f aca="false">CO_ORDINATES(G124)</f>
        <v>55.8344348,26.4883515</v>
      </c>
      <c r="I124" s="47" t="s">
        <v>495</v>
      </c>
      <c r="J124" s="50" t="str">
        <f aca="false">CO_ORDINATES(I124)</f>
        <v>55.8344348,26.4883515</v>
      </c>
      <c r="K124" s="47"/>
      <c r="L124" s="47"/>
      <c r="M124" s="46"/>
      <c r="N124" s="46"/>
      <c r="O124" s="46"/>
      <c r="P124" s="40"/>
      <c r="Q124" s="40"/>
      <c r="R124" s="46"/>
      <c r="S124" s="46"/>
      <c r="T124" s="46"/>
    </row>
    <row r="125" customFormat="false" ht="54.75" hidden="false" customHeight="false" outlineLevel="0" collapsed="false">
      <c r="A125" s="46"/>
      <c r="B125" s="47" t="s">
        <v>496</v>
      </c>
      <c r="C125" s="48" t="s">
        <v>90</v>
      </c>
      <c r="D125" s="46"/>
      <c r="E125" s="46" t="s">
        <v>497</v>
      </c>
      <c r="F125" s="46"/>
      <c r="G125" s="47" t="s">
        <v>498</v>
      </c>
      <c r="H125" s="51" t="e">
        <f aca="false">CO_ORDINATES(G125)</f>
        <v>#VALUE!</v>
      </c>
      <c r="I125" s="47" t="s">
        <v>498</v>
      </c>
      <c r="J125" s="52" t="e">
        <f aca="false">CO_ORDINATES(I125)</f>
        <v>#VALUE!</v>
      </c>
      <c r="K125" s="47"/>
      <c r="L125" s="47"/>
      <c r="M125" s="46"/>
      <c r="N125" s="46"/>
      <c r="O125" s="46"/>
      <c r="P125" s="40"/>
      <c r="Q125" s="40"/>
      <c r="R125" s="46"/>
      <c r="S125" s="46"/>
      <c r="T125" s="46"/>
    </row>
    <row r="126" customFormat="false" ht="54.75" hidden="false" customHeight="false" outlineLevel="0" collapsed="false">
      <c r="A126" s="46"/>
      <c r="B126" s="47" t="s">
        <v>499</v>
      </c>
      <c r="C126" s="48" t="s">
        <v>90</v>
      </c>
      <c r="D126" s="46"/>
      <c r="E126" s="46" t="s">
        <v>281</v>
      </c>
      <c r="F126" s="46"/>
      <c r="G126" s="47" t="s">
        <v>500</v>
      </c>
      <c r="H126" s="51" t="e">
        <f aca="false">CO_ORDINATES(G126)</f>
        <v>#VALUE!</v>
      </c>
      <c r="I126" s="47" t="s">
        <v>500</v>
      </c>
      <c r="J126" s="52" t="e">
        <f aca="false">CO_ORDINATES(I126)</f>
        <v>#VALUE!</v>
      </c>
      <c r="K126" s="47"/>
      <c r="L126" s="47"/>
      <c r="M126" s="46"/>
      <c r="N126" s="46"/>
      <c r="O126" s="46"/>
      <c r="P126" s="40"/>
      <c r="Q126" s="40"/>
      <c r="R126" s="46"/>
      <c r="S126" s="46"/>
      <c r="T126" s="46"/>
    </row>
    <row r="127" customFormat="false" ht="27" hidden="false" customHeight="false" outlineLevel="0" collapsed="false">
      <c r="A127" s="46"/>
      <c r="B127" s="47" t="s">
        <v>501</v>
      </c>
      <c r="C127" s="48" t="s">
        <v>90</v>
      </c>
      <c r="D127" s="46"/>
      <c r="E127" s="46" t="s">
        <v>502</v>
      </c>
      <c r="F127" s="46"/>
      <c r="G127" s="47" t="s">
        <v>503</v>
      </c>
      <c r="H127" s="49" t="str">
        <f aca="false">CO_ORDINATES(G127)</f>
        <v>55.87997385,26.538633191778324</v>
      </c>
      <c r="I127" s="47" t="s">
        <v>503</v>
      </c>
      <c r="J127" s="50" t="str">
        <f aca="false">CO_ORDINATES(I127)</f>
        <v>55.87997385,26.538633191778324</v>
      </c>
      <c r="K127" s="47"/>
      <c r="L127" s="47"/>
      <c r="M127" s="46"/>
      <c r="N127" s="46"/>
      <c r="O127" s="46"/>
      <c r="P127" s="40"/>
      <c r="Q127" s="40"/>
      <c r="R127" s="46"/>
      <c r="S127" s="46"/>
      <c r="T127" s="46"/>
    </row>
    <row r="128" customFormat="false" ht="27" hidden="false" customHeight="false" outlineLevel="0" collapsed="false">
      <c r="A128" s="46"/>
      <c r="B128" s="47" t="s">
        <v>504</v>
      </c>
      <c r="C128" s="48" t="s">
        <v>90</v>
      </c>
      <c r="D128" s="46"/>
      <c r="E128" s="46" t="s">
        <v>505</v>
      </c>
      <c r="F128" s="46"/>
      <c r="G128" s="47" t="s">
        <v>506</v>
      </c>
      <c r="H128" s="51" t="e">
        <f aca="false">CO_ORDINATES(G128)</f>
        <v>#VALUE!</v>
      </c>
      <c r="I128" s="47" t="s">
        <v>506</v>
      </c>
      <c r="J128" s="52" t="e">
        <f aca="false">CO_ORDINATES(I128)</f>
        <v>#VALUE!</v>
      </c>
      <c r="K128" s="47"/>
      <c r="L128" s="47"/>
      <c r="M128" s="46"/>
      <c r="N128" s="46"/>
      <c r="O128" s="46"/>
      <c r="P128" s="40"/>
      <c r="Q128" s="40"/>
      <c r="R128" s="46"/>
      <c r="S128" s="46"/>
      <c r="T128" s="46"/>
    </row>
    <row r="129" customFormat="false" ht="27" hidden="false" customHeight="false" outlineLevel="0" collapsed="false">
      <c r="A129" s="46"/>
      <c r="B129" s="47" t="s">
        <v>507</v>
      </c>
      <c r="C129" s="48" t="s">
        <v>90</v>
      </c>
      <c r="D129" s="46"/>
      <c r="E129" s="46" t="s">
        <v>508</v>
      </c>
      <c r="F129" s="46"/>
      <c r="G129" s="47" t="s">
        <v>251</v>
      </c>
      <c r="H129" s="49" t="str">
        <f aca="false">CO_ORDINATES(G129)</f>
        <v>55.8973548,26.561578902688808</v>
      </c>
      <c r="I129" s="47" t="s">
        <v>251</v>
      </c>
      <c r="J129" s="50" t="str">
        <f aca="false">CO_ORDINATES(I129)</f>
        <v>55.8973548,26.561578902688808</v>
      </c>
      <c r="K129" s="47"/>
      <c r="L129" s="47"/>
      <c r="M129" s="46"/>
      <c r="N129" s="46"/>
      <c r="O129" s="46"/>
      <c r="P129" s="40"/>
      <c r="Q129" s="40"/>
      <c r="R129" s="46"/>
      <c r="S129" s="46"/>
      <c r="T129" s="46"/>
    </row>
    <row r="130" customFormat="false" ht="27" hidden="false" customHeight="false" outlineLevel="0" collapsed="false">
      <c r="A130" s="46"/>
      <c r="B130" s="47" t="s">
        <v>509</v>
      </c>
      <c r="C130" s="48" t="s">
        <v>90</v>
      </c>
      <c r="D130" s="46"/>
      <c r="E130" s="46" t="s">
        <v>510</v>
      </c>
      <c r="F130" s="46"/>
      <c r="G130" s="47" t="s">
        <v>511</v>
      </c>
      <c r="H130" s="49" t="str">
        <f aca="false">CO_ORDINATES(G130)</f>
        <v>55.870596649999996,26.52166119950618</v>
      </c>
      <c r="I130" s="47" t="s">
        <v>511</v>
      </c>
      <c r="J130" s="50" t="str">
        <f aca="false">CO_ORDINATES(I130)</f>
        <v>55.870596649999996,26.52166119950618</v>
      </c>
      <c r="K130" s="47"/>
      <c r="L130" s="47"/>
      <c r="M130" s="46"/>
      <c r="N130" s="46"/>
      <c r="O130" s="46"/>
      <c r="P130" s="40"/>
      <c r="Q130" s="40"/>
      <c r="R130" s="46"/>
      <c r="S130" s="46"/>
      <c r="T130" s="46"/>
    </row>
    <row r="131" customFormat="false" ht="27" hidden="false" customHeight="false" outlineLevel="0" collapsed="false">
      <c r="A131" s="46"/>
      <c r="B131" s="47" t="s">
        <v>512</v>
      </c>
      <c r="C131" s="48" t="s">
        <v>90</v>
      </c>
      <c r="D131" s="46"/>
      <c r="E131" s="46" t="s">
        <v>513</v>
      </c>
      <c r="F131" s="46"/>
      <c r="G131" s="47" t="s">
        <v>514</v>
      </c>
      <c r="H131" s="49" t="str">
        <f aca="false">CO_ORDINATES(G131)</f>
        <v>55.9017155,26.5347614</v>
      </c>
      <c r="I131" s="47" t="s">
        <v>514</v>
      </c>
      <c r="J131" s="50" t="str">
        <f aca="false">CO_ORDINATES(I131)</f>
        <v>55.9017155,26.5347614</v>
      </c>
      <c r="K131" s="47"/>
      <c r="L131" s="47"/>
      <c r="M131" s="46"/>
      <c r="N131" s="46"/>
      <c r="O131" s="46"/>
      <c r="P131" s="40"/>
      <c r="Q131" s="40"/>
      <c r="R131" s="46"/>
      <c r="S131" s="46"/>
      <c r="T131" s="46"/>
    </row>
    <row r="132" customFormat="false" ht="27" hidden="false" customHeight="false" outlineLevel="0" collapsed="false">
      <c r="A132" s="46"/>
      <c r="B132" s="47" t="s">
        <v>515</v>
      </c>
      <c r="C132" s="48" t="s">
        <v>90</v>
      </c>
      <c r="D132" s="46"/>
      <c r="E132" s="46" t="s">
        <v>351</v>
      </c>
      <c r="F132" s="46"/>
      <c r="G132" s="47" t="s">
        <v>506</v>
      </c>
      <c r="H132" s="51" t="e">
        <f aca="false">CO_ORDINATES(G132)</f>
        <v>#VALUE!</v>
      </c>
      <c r="I132" s="47" t="s">
        <v>506</v>
      </c>
      <c r="J132" s="52" t="e">
        <f aca="false">CO_ORDINATES(I132)</f>
        <v>#VALUE!</v>
      </c>
      <c r="K132" s="47"/>
      <c r="L132" s="47"/>
      <c r="M132" s="46"/>
      <c r="N132" s="46"/>
      <c r="O132" s="46"/>
      <c r="P132" s="40"/>
      <c r="Q132" s="40"/>
      <c r="R132" s="46"/>
      <c r="S132" s="46"/>
      <c r="T132" s="46"/>
    </row>
    <row r="133" customFormat="false" ht="27" hidden="false" customHeight="false" outlineLevel="0" collapsed="false">
      <c r="A133" s="46"/>
      <c r="B133" s="47" t="s">
        <v>516</v>
      </c>
      <c r="C133" s="48" t="s">
        <v>90</v>
      </c>
      <c r="D133" s="46"/>
      <c r="E133" s="46" t="s">
        <v>348</v>
      </c>
      <c r="F133" s="46"/>
      <c r="G133" s="47" t="s">
        <v>517</v>
      </c>
      <c r="H133" s="49" t="str">
        <f aca="false">CO_ORDINATES(G133)</f>
        <v>55.8650052,26.6012979</v>
      </c>
      <c r="I133" s="47" t="s">
        <v>517</v>
      </c>
      <c r="J133" s="50" t="str">
        <f aca="false">CO_ORDINATES(I133)</f>
        <v>55.8650052,26.6012979</v>
      </c>
      <c r="K133" s="47"/>
      <c r="L133" s="47"/>
      <c r="M133" s="46"/>
      <c r="N133" s="46"/>
      <c r="O133" s="46"/>
      <c r="P133" s="40"/>
      <c r="Q133" s="40"/>
      <c r="R133" s="46"/>
      <c r="S133" s="46"/>
      <c r="T133" s="46"/>
    </row>
    <row r="134" customFormat="false" ht="27" hidden="false" customHeight="false" outlineLevel="0" collapsed="false">
      <c r="A134" s="46"/>
      <c r="B134" s="47" t="s">
        <v>518</v>
      </c>
      <c r="C134" s="48" t="s">
        <v>90</v>
      </c>
      <c r="D134" s="46"/>
      <c r="E134" s="46" t="s">
        <v>519</v>
      </c>
      <c r="F134" s="46"/>
      <c r="G134" s="47" t="s">
        <v>520</v>
      </c>
      <c r="H134" s="49" t="str">
        <f aca="false">CO_ORDINATES(G134)</f>
        <v>55.8909886,26.5576666</v>
      </c>
      <c r="I134" s="47" t="s">
        <v>520</v>
      </c>
      <c r="J134" s="50" t="str">
        <f aca="false">CO_ORDINATES(I134)</f>
        <v>55.8909886,26.5576666</v>
      </c>
      <c r="K134" s="47"/>
      <c r="L134" s="47"/>
      <c r="M134" s="46"/>
      <c r="N134" s="46"/>
      <c r="O134" s="46"/>
      <c r="P134" s="40"/>
      <c r="Q134" s="40"/>
      <c r="R134" s="46"/>
      <c r="S134" s="46"/>
      <c r="T134" s="46"/>
    </row>
    <row r="135" customFormat="false" ht="27" hidden="false" customHeight="false" outlineLevel="0" collapsed="false">
      <c r="A135" s="46"/>
      <c r="B135" s="47" t="s">
        <v>521</v>
      </c>
      <c r="C135" s="48" t="s">
        <v>90</v>
      </c>
      <c r="D135" s="46"/>
      <c r="E135" s="46" t="s">
        <v>238</v>
      </c>
      <c r="F135" s="46"/>
      <c r="G135" s="47" t="s">
        <v>522</v>
      </c>
      <c r="H135" s="49" t="str">
        <f aca="false">CO_ORDINATES(G135)</f>
        <v>55.8973016,26.520061</v>
      </c>
      <c r="I135" s="47" t="s">
        <v>522</v>
      </c>
      <c r="J135" s="50" t="str">
        <f aca="false">CO_ORDINATES(I135)</f>
        <v>55.8973016,26.520061</v>
      </c>
      <c r="K135" s="47"/>
      <c r="L135" s="47"/>
      <c r="M135" s="46"/>
      <c r="N135" s="46"/>
      <c r="O135" s="46"/>
      <c r="P135" s="40"/>
      <c r="Q135" s="40"/>
      <c r="R135" s="46"/>
      <c r="S135" s="46"/>
      <c r="T135" s="46"/>
    </row>
    <row r="136" customFormat="false" ht="27" hidden="false" customHeight="false" outlineLevel="0" collapsed="false">
      <c r="A136" s="46"/>
      <c r="B136" s="47" t="s">
        <v>523</v>
      </c>
      <c r="C136" s="48" t="s">
        <v>90</v>
      </c>
      <c r="D136" s="46"/>
      <c r="E136" s="46" t="s">
        <v>524</v>
      </c>
      <c r="F136" s="46"/>
      <c r="G136" s="47" t="s">
        <v>525</v>
      </c>
      <c r="H136" s="49" t="str">
        <f aca="false">CO_ORDINATES(G136)</f>
        <v>55.9044773,26.4947186</v>
      </c>
      <c r="I136" s="47" t="s">
        <v>525</v>
      </c>
      <c r="J136" s="50" t="str">
        <f aca="false">CO_ORDINATES(I136)</f>
        <v>55.9044773,26.4947186</v>
      </c>
      <c r="K136" s="47"/>
      <c r="L136" s="47"/>
      <c r="M136" s="46"/>
      <c r="N136" s="46"/>
      <c r="O136" s="46"/>
      <c r="P136" s="40"/>
      <c r="Q136" s="40"/>
      <c r="R136" s="46"/>
      <c r="S136" s="46"/>
      <c r="T136" s="46"/>
    </row>
    <row r="137" customFormat="false" ht="27" hidden="false" customHeight="false" outlineLevel="0" collapsed="false">
      <c r="A137" s="46"/>
      <c r="B137" s="47" t="s">
        <v>526</v>
      </c>
      <c r="C137" s="48" t="s">
        <v>90</v>
      </c>
      <c r="D137" s="46"/>
      <c r="E137" s="46" t="s">
        <v>527</v>
      </c>
      <c r="F137" s="46"/>
      <c r="G137" s="47" t="s">
        <v>528</v>
      </c>
      <c r="H137" s="49" t="str">
        <f aca="false">CO_ORDINATES(G137)</f>
        <v>55.881292599999995,26.55589053623666</v>
      </c>
      <c r="I137" s="47" t="s">
        <v>528</v>
      </c>
      <c r="J137" s="50" t="str">
        <f aca="false">CO_ORDINATES(I137)</f>
        <v>55.881292599999995,26.55589053623666</v>
      </c>
      <c r="K137" s="47"/>
      <c r="L137" s="47"/>
      <c r="M137" s="46"/>
      <c r="N137" s="46"/>
      <c r="O137" s="46"/>
      <c r="P137" s="40"/>
      <c r="Q137" s="40"/>
      <c r="R137" s="46"/>
      <c r="S137" s="46"/>
      <c r="T137" s="46"/>
    </row>
    <row r="138" customFormat="false" ht="27" hidden="false" customHeight="false" outlineLevel="0" collapsed="false">
      <c r="A138" s="46"/>
      <c r="B138" s="47" t="s">
        <v>529</v>
      </c>
      <c r="C138" s="48" t="s">
        <v>90</v>
      </c>
      <c r="D138" s="46"/>
      <c r="E138" s="46" t="s">
        <v>530</v>
      </c>
      <c r="F138" s="46"/>
      <c r="G138" s="47" t="s">
        <v>531</v>
      </c>
      <c r="H138" s="51" t="e">
        <f aca="false">CO_ORDINATES(G138)</f>
        <v>#VALUE!</v>
      </c>
      <c r="I138" s="47" t="s">
        <v>531</v>
      </c>
      <c r="J138" s="52" t="e">
        <f aca="false">CO_ORDINATES(I138)</f>
        <v>#VALUE!</v>
      </c>
      <c r="K138" s="47"/>
      <c r="L138" s="47"/>
      <c r="M138" s="46"/>
      <c r="N138" s="46"/>
      <c r="O138" s="46"/>
      <c r="P138" s="40"/>
      <c r="Q138" s="40"/>
      <c r="R138" s="46"/>
      <c r="S138" s="46"/>
      <c r="T138" s="46"/>
    </row>
    <row r="139" customFormat="false" ht="41.25" hidden="false" customHeight="false" outlineLevel="0" collapsed="false">
      <c r="A139" s="46"/>
      <c r="B139" s="47" t="s">
        <v>532</v>
      </c>
      <c r="C139" s="48" t="s">
        <v>90</v>
      </c>
      <c r="D139" s="46"/>
      <c r="E139" s="46" t="s">
        <v>351</v>
      </c>
      <c r="F139" s="46"/>
      <c r="G139" s="47" t="s">
        <v>533</v>
      </c>
      <c r="H139" s="49" t="str">
        <f aca="false">CO_ORDINATES(G139)</f>
        <v>55.8877613,26.5542959</v>
      </c>
      <c r="I139" s="47" t="s">
        <v>533</v>
      </c>
      <c r="J139" s="50" t="str">
        <f aca="false">CO_ORDINATES(I139)</f>
        <v>55.8877613,26.5542959</v>
      </c>
      <c r="K139" s="47"/>
      <c r="L139" s="47"/>
      <c r="M139" s="46"/>
      <c r="N139" s="46"/>
      <c r="O139" s="46"/>
      <c r="P139" s="40"/>
      <c r="Q139" s="40"/>
      <c r="R139" s="46"/>
      <c r="S139" s="46"/>
      <c r="T139" s="46"/>
    </row>
    <row r="140" customFormat="false" ht="41.25" hidden="false" customHeight="false" outlineLevel="0" collapsed="false">
      <c r="A140" s="46"/>
      <c r="B140" s="47" t="s">
        <v>534</v>
      </c>
      <c r="C140" s="48" t="s">
        <v>90</v>
      </c>
      <c r="D140" s="46"/>
      <c r="E140" s="46" t="s">
        <v>354</v>
      </c>
      <c r="F140" s="46"/>
      <c r="G140" s="47" t="s">
        <v>535</v>
      </c>
      <c r="H140" s="51" t="e">
        <f aca="false">CO_ORDINATES(G140)</f>
        <v>#VALUE!</v>
      </c>
      <c r="I140" s="47" t="s">
        <v>535</v>
      </c>
      <c r="J140" s="52" t="e">
        <f aca="false">CO_ORDINATES(I140)</f>
        <v>#VALUE!</v>
      </c>
      <c r="K140" s="47"/>
      <c r="L140" s="47"/>
      <c r="M140" s="46"/>
      <c r="N140" s="46"/>
      <c r="O140" s="46"/>
      <c r="P140" s="40"/>
      <c r="Q140" s="40"/>
      <c r="R140" s="46"/>
      <c r="S140" s="46"/>
      <c r="T140" s="46"/>
    </row>
    <row r="141" customFormat="false" ht="27" hidden="false" customHeight="false" outlineLevel="0" collapsed="false">
      <c r="A141" s="46"/>
      <c r="B141" s="47" t="s">
        <v>536</v>
      </c>
      <c r="C141" s="48" t="s">
        <v>90</v>
      </c>
      <c r="D141" s="46"/>
      <c r="E141" s="46" t="s">
        <v>200</v>
      </c>
      <c r="F141" s="46"/>
      <c r="G141" s="47" t="s">
        <v>537</v>
      </c>
      <c r="H141" s="49" t="str">
        <f aca="false">CO_ORDINATES(G141)</f>
        <v>55.8766561,26.557765</v>
      </c>
      <c r="I141" s="47" t="s">
        <v>537</v>
      </c>
      <c r="J141" s="50" t="str">
        <f aca="false">CO_ORDINATES(I141)</f>
        <v>55.8766561,26.557765</v>
      </c>
      <c r="K141" s="47"/>
      <c r="L141" s="47"/>
      <c r="M141" s="46"/>
      <c r="N141" s="46"/>
      <c r="O141" s="46"/>
      <c r="P141" s="40"/>
      <c r="Q141" s="40"/>
      <c r="R141" s="46"/>
      <c r="S141" s="46"/>
      <c r="T141" s="46"/>
    </row>
    <row r="142" customFormat="false" ht="41.25" hidden="false" customHeight="false" outlineLevel="0" collapsed="false">
      <c r="A142" s="46"/>
      <c r="B142" s="47" t="s">
        <v>538</v>
      </c>
      <c r="C142" s="48" t="s">
        <v>90</v>
      </c>
      <c r="D142" s="46"/>
      <c r="E142" s="46" t="s">
        <v>284</v>
      </c>
      <c r="F142" s="46"/>
      <c r="G142" s="47" t="s">
        <v>539</v>
      </c>
      <c r="H142" s="51" t="e">
        <f aca="false">CO_ORDINATES(G142)</f>
        <v>#VALUE!</v>
      </c>
      <c r="I142" s="47" t="s">
        <v>539</v>
      </c>
      <c r="J142" s="52" t="e">
        <f aca="false">CO_ORDINATES(I142)</f>
        <v>#VALUE!</v>
      </c>
      <c r="K142" s="47"/>
      <c r="L142" s="47"/>
      <c r="M142" s="46"/>
      <c r="N142" s="46"/>
      <c r="O142" s="46"/>
      <c r="P142" s="40"/>
      <c r="Q142" s="40"/>
      <c r="R142" s="46"/>
      <c r="S142" s="46"/>
      <c r="T142" s="46"/>
    </row>
    <row r="143" customFormat="false" ht="54.75" hidden="false" customHeight="false" outlineLevel="0" collapsed="false">
      <c r="A143" s="46"/>
      <c r="B143" s="47" t="s">
        <v>540</v>
      </c>
      <c r="C143" s="48" t="s">
        <v>90</v>
      </c>
      <c r="D143" s="46"/>
      <c r="E143" s="46" t="s">
        <v>298</v>
      </c>
      <c r="F143" s="46"/>
      <c r="G143" s="47" t="s">
        <v>541</v>
      </c>
      <c r="H143" s="51" t="e">
        <f aca="false">CO_ORDINATES(G143)</f>
        <v>#VALUE!</v>
      </c>
      <c r="I143" s="47" t="s">
        <v>541</v>
      </c>
      <c r="J143" s="52" t="e">
        <f aca="false">CO_ORDINATES(I143)</f>
        <v>#VALUE!</v>
      </c>
      <c r="K143" s="47"/>
      <c r="L143" s="47"/>
      <c r="M143" s="46"/>
      <c r="N143" s="46"/>
      <c r="O143" s="46"/>
      <c r="P143" s="40"/>
      <c r="Q143" s="40"/>
      <c r="R143" s="46"/>
      <c r="S143" s="46"/>
      <c r="T143" s="46"/>
    </row>
    <row r="144" customFormat="false" ht="41.25" hidden="false" customHeight="false" outlineLevel="0" collapsed="false">
      <c r="A144" s="46"/>
      <c r="B144" s="47" t="s">
        <v>542</v>
      </c>
      <c r="C144" s="48" t="s">
        <v>90</v>
      </c>
      <c r="D144" s="46"/>
      <c r="E144" s="46" t="s">
        <v>543</v>
      </c>
      <c r="F144" s="46" t="s">
        <v>544</v>
      </c>
      <c r="G144" s="47" t="s">
        <v>545</v>
      </c>
      <c r="H144" s="51" t="e">
        <f aca="false">CO_ORDINATES(G144)</f>
        <v>#VALUE!</v>
      </c>
      <c r="I144" s="47" t="s">
        <v>545</v>
      </c>
      <c r="J144" s="52" t="e">
        <f aca="false">CO_ORDINATES(I144)</f>
        <v>#VALUE!</v>
      </c>
      <c r="K144" s="47"/>
      <c r="L144" s="47"/>
      <c r="M144" s="46"/>
      <c r="N144" s="46"/>
      <c r="O144" s="46"/>
      <c r="P144" s="40"/>
      <c r="Q144" s="40"/>
      <c r="R144" s="46"/>
      <c r="S144" s="46"/>
      <c r="T144" s="46"/>
    </row>
    <row r="145" customFormat="false" ht="27" hidden="false" customHeight="false" outlineLevel="0" collapsed="false">
      <c r="A145" s="46"/>
      <c r="B145" s="53" t="s">
        <v>546</v>
      </c>
      <c r="C145" s="48" t="s">
        <v>90</v>
      </c>
      <c r="D145" s="46"/>
      <c r="E145" s="46" t="s">
        <v>264</v>
      </c>
      <c r="F145" s="46"/>
      <c r="G145" s="53" t="s">
        <v>547</v>
      </c>
      <c r="H145" s="49" t="str">
        <f aca="false">CO_ORDINATES(G145)</f>
        <v>55.8537979,26.5548938</v>
      </c>
      <c r="I145" s="53" t="s">
        <v>547</v>
      </c>
      <c r="J145" s="50" t="str">
        <f aca="false">CO_ORDINATES(I145)</f>
        <v>55.8537979,26.5548938</v>
      </c>
      <c r="K145" s="53"/>
      <c r="L145" s="53"/>
      <c r="M145" s="46"/>
      <c r="N145" s="46"/>
      <c r="O145" s="46"/>
      <c r="P145" s="40"/>
      <c r="Q145" s="40"/>
      <c r="R145" s="46"/>
      <c r="S145" s="46"/>
      <c r="T145" s="46"/>
    </row>
  </sheetData>
  <autoFilter ref="A1:T1"/>
  <hyperlinks>
    <hyperlink ref="O2" r:id="rId2" display="www.belmast.lv/"/>
    <hyperlink ref="N3" r:id="rId3" display="apeks.serviss@gmail.com"/>
    <hyperlink ref="O3" r:id="rId4" display="https://apeks.lv/"/>
    <hyperlink ref="O5" r:id="rId5" display="www.latliga.lv/"/>
    <hyperlink ref="N6" r:id="rId6" display="dsibuve@inbox.lv"/>
    <hyperlink ref="N7" r:id="rId7" display="dautrans@apollo.lv"/>
    <hyperlink ref="O7" r:id="rId8" display="https://dautrans.lv/"/>
    <hyperlink ref="N8" r:id="rId9" display="bus.noma@gmail.com"/>
    <hyperlink ref="O8" r:id="rId10" display="http://www.busnoma.lv/?i=1"/>
    <hyperlink ref="N9" r:id="rId11" display="info@megabus.lv"/>
    <hyperlink ref="O9" r:id="rId12" display="https://www.megabus.lv/"/>
    <hyperlink ref="N10" r:id="rId13" display="mednis1@inbox.lv"/>
    <hyperlink ref="M11" r:id="rId14" display="654 29245"/>
    <hyperlink ref="N11" r:id="rId15" display="dap@dap.apollo.lv"/>
    <hyperlink ref="O11" r:id="rId16" display="https://buspark.lv/"/>
    <hyperlink ref="O12" r:id="rId17" display="https://satiksme.daugavpils.lv/"/>
  </hyperlinks>
  <printOptions headings="false" gridLines="false" gridLinesSet="true" horizontalCentered="false" verticalCentered="false"/>
  <pageMargins left="0" right="0" top="0.394444444444445" bottom="0.394444444444445" header="0" footer="0"/>
  <pageSetup paperSize="9"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drawing r:id="rId18"/>
  <legacyDrawing r:id="rId1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F15"/>
  <sheetViews>
    <sheetView showFormulas="false" showGridLines="true" showRowColHeaders="true" showZeros="true" rightToLeft="false" tabSelected="false" showOutlineSymbols="true" defaultGridColor="true" view="normal" topLeftCell="A1" colorId="64" zoomScale="55" zoomScaleNormal="55" zoomScalePageLayoutView="100" workbookViewId="0">
      <selection pane="topLeft" activeCell="I2" activeCellId="0" sqref="I2"/>
    </sheetView>
  </sheetViews>
  <sheetFormatPr defaultColWidth="8.609375" defaultRowHeight="13.5" zeroHeight="false" outlineLevelRow="0" outlineLevelCol="0"/>
  <cols>
    <col collapsed="false" customWidth="true" hidden="false" outlineLevel="0" max="4" min="1" style="0" width="20.7"/>
    <col collapsed="false" customWidth="true" hidden="false" outlineLevel="0" max="5" min="5" style="24" width="20.7"/>
    <col collapsed="false" customWidth="true" hidden="false" outlineLevel="0" max="9" min="6" style="0" width="20.7"/>
    <col collapsed="false" customWidth="true" hidden="false" outlineLevel="0" max="10" min="10" style="0" width="14.69"/>
    <col collapsed="false" customWidth="true" hidden="false" outlineLevel="0" max="12" min="11" style="0" width="20.7"/>
    <col collapsed="false" customWidth="true" hidden="false" outlineLevel="0" max="13" min="13" style="1" width="13.09"/>
    <col collapsed="false" customWidth="true" hidden="false" outlineLevel="0" max="14" min="14" style="1" width="20.7"/>
    <col collapsed="false" customWidth="true" hidden="false" outlineLevel="0" max="15" min="15" style="0" width="20.7"/>
    <col collapsed="false" customWidth="true" hidden="false" outlineLevel="0" max="18" min="18" style="0" width="42.69"/>
    <col collapsed="false" customWidth="true" hidden="false" outlineLevel="0" max="58" min="19" style="2" width="8.7"/>
  </cols>
  <sheetData>
    <row r="1" customFormat="false" ht="30.75" hidden="false" customHeight="false" outlineLevel="0" collapsed="false">
      <c r="A1" s="3" t="s">
        <v>0</v>
      </c>
      <c r="B1" s="3" t="s">
        <v>1</v>
      </c>
      <c r="C1" s="3" t="s">
        <v>2</v>
      </c>
      <c r="D1" s="3" t="s">
        <v>548</v>
      </c>
      <c r="E1" s="5" t="s">
        <v>3</v>
      </c>
      <c r="F1" s="3" t="s">
        <v>4</v>
      </c>
      <c r="G1" s="3" t="s">
        <v>5</v>
      </c>
      <c r="H1" s="3" t="s">
        <v>7</v>
      </c>
      <c r="I1" s="3" t="s">
        <v>8</v>
      </c>
      <c r="J1" s="3" t="s">
        <v>10</v>
      </c>
      <c r="K1" s="3" t="s">
        <v>11</v>
      </c>
      <c r="L1" s="3" t="s">
        <v>12</v>
      </c>
      <c r="M1" s="54" t="s">
        <v>549</v>
      </c>
      <c r="N1" s="4" t="s">
        <v>14</v>
      </c>
      <c r="O1" s="5" t="s">
        <v>15</v>
      </c>
      <c r="P1" s="3"/>
      <c r="Q1" s="3"/>
      <c r="R1" s="3"/>
    </row>
    <row r="2" s="23" customFormat="true" ht="54.75" hidden="false" customHeight="false" outlineLevel="0" collapsed="false">
      <c r="A2" s="6" t="s">
        <v>58</v>
      </c>
      <c r="B2" s="6" t="s">
        <v>550</v>
      </c>
      <c r="C2" s="6" t="s">
        <v>551</v>
      </c>
      <c r="D2" s="6"/>
      <c r="E2" s="6" t="s">
        <v>552</v>
      </c>
      <c r="F2" s="6" t="s">
        <v>553</v>
      </c>
      <c r="G2" s="42" t="e">
        <f aca="false">CO_ORDINATES(F2)</f>
        <v>#VALUE!</v>
      </c>
      <c r="H2" s="6" t="s">
        <v>554</v>
      </c>
      <c r="I2" s="36" t="str">
        <f aca="false">CO_ORDINATES(H2)</f>
        <v>55.8969607,26.4736829</v>
      </c>
      <c r="J2" s="6" t="n">
        <v>20008182</v>
      </c>
      <c r="K2" s="6" t="s">
        <v>555</v>
      </c>
      <c r="L2" s="6" t="s">
        <v>556</v>
      </c>
      <c r="M2" s="13" t="s">
        <v>557</v>
      </c>
      <c r="N2" s="13" t="s">
        <v>558</v>
      </c>
      <c r="O2" s="6"/>
      <c r="P2" s="6"/>
      <c r="Q2" s="6"/>
      <c r="R2" s="6"/>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row>
    <row r="3" s="10" customFormat="true" ht="27" hidden="false" customHeight="false" outlineLevel="0" collapsed="false">
      <c r="A3" s="6"/>
      <c r="B3" s="6" t="s">
        <v>559</v>
      </c>
      <c r="C3" s="6" t="s">
        <v>551</v>
      </c>
      <c r="D3" s="6"/>
      <c r="E3" s="6" t="s">
        <v>560</v>
      </c>
      <c r="F3" s="6" t="s">
        <v>561</v>
      </c>
      <c r="G3" s="36" t="str">
        <f aca="false">CO_ORDINATES(F3)</f>
        <v>55.887014699999995,26.526231561261795</v>
      </c>
      <c r="H3" s="6" t="s">
        <v>561</v>
      </c>
      <c r="I3" s="36" t="str">
        <f aca="false">CO_ORDINATES(H3)</f>
        <v>55.887014699999995,26.526231561261795</v>
      </c>
      <c r="J3" s="55" t="s">
        <v>562</v>
      </c>
      <c r="K3" s="6" t="s">
        <v>563</v>
      </c>
      <c r="L3" s="6" t="s">
        <v>564</v>
      </c>
      <c r="M3" s="13" t="n">
        <v>10</v>
      </c>
      <c r="N3" s="13" t="s">
        <v>565</v>
      </c>
      <c r="O3" s="6"/>
      <c r="P3" s="6"/>
      <c r="Q3" s="6"/>
      <c r="R3" s="6"/>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row>
    <row r="4" s="14" customFormat="true" ht="54.75" hidden="false" customHeight="false" outlineLevel="0" collapsed="false">
      <c r="A4" s="6" t="s">
        <v>58</v>
      </c>
      <c r="B4" s="6" t="s">
        <v>566</v>
      </c>
      <c r="C4" s="6" t="s">
        <v>551</v>
      </c>
      <c r="D4" s="6"/>
      <c r="E4" s="6" t="s">
        <v>567</v>
      </c>
      <c r="F4" s="6" t="s">
        <v>568</v>
      </c>
      <c r="G4" s="36" t="str">
        <f aca="false">CO_ORDINATES(F4)</f>
        <v>55.87519315,26.54601620549517</v>
      </c>
      <c r="H4" s="6" t="s">
        <v>568</v>
      </c>
      <c r="I4" s="36" t="str">
        <f aca="false">CO_ORDINATES(H4)</f>
        <v>55.87519315,26.54601620549517</v>
      </c>
      <c r="J4" s="6" t="str">
        <f aca="false">E3</f>
        <v>Pontags Juris</v>
      </c>
      <c r="K4" s="6" t="s">
        <v>569</v>
      </c>
      <c r="L4" s="6" t="s">
        <v>570</v>
      </c>
      <c r="M4" s="13" t="n">
        <v>31</v>
      </c>
      <c r="N4" s="13" t="s">
        <v>571</v>
      </c>
      <c r="O4" s="6"/>
      <c r="P4" s="6"/>
      <c r="Q4" s="6"/>
      <c r="R4" s="6"/>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row>
    <row r="5" s="10" customFormat="true" ht="41.25" hidden="false" customHeight="false" outlineLevel="0" collapsed="false">
      <c r="A5" s="6" t="s">
        <v>58</v>
      </c>
      <c r="B5" s="6" t="s">
        <v>572</v>
      </c>
      <c r="C5" s="6" t="s">
        <v>551</v>
      </c>
      <c r="D5" s="6"/>
      <c r="E5" s="6" t="s">
        <v>573</v>
      </c>
      <c r="F5" s="6" t="s">
        <v>561</v>
      </c>
      <c r="G5" s="36" t="str">
        <f aca="false">CO_ORDINATES(F5)</f>
        <v>55.887014699999995,26.526231561261795</v>
      </c>
      <c r="H5" s="6" t="s">
        <v>561</v>
      </c>
      <c r="I5" s="36" t="str">
        <f aca="false">CO_ORDINATES(H5)</f>
        <v>55.887014699999995,26.526231561261795</v>
      </c>
      <c r="J5" s="6" t="n">
        <f aca="false" t="array" ref="J5:J5">27:27</f>
        <v>0</v>
      </c>
      <c r="K5" s="6"/>
      <c r="L5" s="6"/>
      <c r="M5" s="13" t="n">
        <v>49</v>
      </c>
      <c r="N5" s="13" t="s">
        <v>574</v>
      </c>
      <c r="O5" s="6"/>
      <c r="P5" s="6"/>
      <c r="Q5" s="6"/>
      <c r="R5" s="6"/>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row>
    <row r="6" s="56" customFormat="true" ht="54.75" hidden="false" customHeight="false" outlineLevel="0" collapsed="false">
      <c r="A6" s="25"/>
      <c r="B6" s="25" t="s">
        <v>575</v>
      </c>
      <c r="C6" s="25" t="s">
        <v>551</v>
      </c>
      <c r="D6" s="25"/>
      <c r="E6" s="25" t="s">
        <v>576</v>
      </c>
      <c r="F6" s="25" t="s">
        <v>577</v>
      </c>
      <c r="G6" s="36" t="str">
        <f aca="false">CO_ORDINATES(F6)</f>
        <v>55.89708525,26.55834182605635</v>
      </c>
      <c r="H6" s="25" t="s">
        <v>578</v>
      </c>
      <c r="I6" s="42" t="e">
        <f aca="false">CO_ORDINATES(H6)</f>
        <v>#VALUE!</v>
      </c>
      <c r="J6" s="25" t="s">
        <v>95</v>
      </c>
      <c r="K6" s="25"/>
      <c r="L6" s="27"/>
      <c r="M6" s="28" t="n">
        <v>36</v>
      </c>
      <c r="N6" s="28" t="s">
        <v>579</v>
      </c>
      <c r="O6" s="25"/>
      <c r="P6" s="25"/>
      <c r="Q6" s="25"/>
      <c r="R6" s="25"/>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row>
    <row r="7" s="10" customFormat="true" ht="27" hidden="false" customHeight="false" outlineLevel="0" collapsed="false">
      <c r="A7" s="6" t="s">
        <v>58</v>
      </c>
      <c r="B7" s="6" t="s">
        <v>580</v>
      </c>
      <c r="C7" s="6" t="s">
        <v>551</v>
      </c>
      <c r="D7" s="6"/>
      <c r="E7" s="6" t="s">
        <v>581</v>
      </c>
      <c r="F7" s="6" t="s">
        <v>582</v>
      </c>
      <c r="G7" s="36" t="str">
        <f aca="false">CO_ORDINATES(F7)</f>
        <v>55.880892349999996,26.5047759361483</v>
      </c>
      <c r="H7" s="6" t="s">
        <v>582</v>
      </c>
      <c r="I7" s="36" t="str">
        <f aca="false">CO_ORDINATES(H7)</f>
        <v>55.880892349999996,26.5047759361483</v>
      </c>
      <c r="J7" s="6" t="n">
        <v>29668608</v>
      </c>
      <c r="K7" s="6" t="s">
        <v>583</v>
      </c>
      <c r="L7" s="6"/>
      <c r="M7" s="13" t="n">
        <v>17</v>
      </c>
      <c r="N7" s="13" t="s">
        <v>584</v>
      </c>
      <c r="O7" s="6"/>
      <c r="P7" s="6"/>
      <c r="Q7" s="6"/>
      <c r="R7" s="6"/>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row>
    <row r="8" s="10" customFormat="true" ht="27" hidden="false" customHeight="false" outlineLevel="0" collapsed="false">
      <c r="A8" s="6"/>
      <c r="B8" s="7" t="s">
        <v>585</v>
      </c>
      <c r="C8" s="7" t="s">
        <v>551</v>
      </c>
      <c r="D8" s="7"/>
      <c r="E8" s="7" t="s">
        <v>586</v>
      </c>
      <c r="F8" s="7" t="s">
        <v>587</v>
      </c>
      <c r="G8" s="36" t="str">
        <f aca="false">CO_ORDINATES(F8)</f>
        <v>55.8984486,26.4743123</v>
      </c>
      <c r="H8" s="7" t="s">
        <v>587</v>
      </c>
      <c r="I8" s="36" t="str">
        <f aca="false">CO_ORDINATES(H8)</f>
        <v>55.8984486,26.4743123</v>
      </c>
      <c r="J8" s="7" t="n">
        <v>37125963224</v>
      </c>
      <c r="K8" s="7"/>
      <c r="L8" s="7"/>
      <c r="M8" s="8" t="n">
        <v>9</v>
      </c>
      <c r="N8" s="8" t="s">
        <v>588</v>
      </c>
      <c r="O8" s="7"/>
      <c r="P8" s="7"/>
      <c r="Q8" s="7"/>
      <c r="R8" s="7"/>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row>
    <row r="9" s="10" customFormat="true" ht="54.75" hidden="false" customHeight="false" outlineLevel="0" collapsed="false">
      <c r="A9" s="11"/>
      <c r="B9" s="12" t="s">
        <v>589</v>
      </c>
      <c r="C9" s="12" t="s">
        <v>551</v>
      </c>
      <c r="D9" s="12"/>
      <c r="E9" s="12" t="s">
        <v>590</v>
      </c>
      <c r="F9" s="12" t="s">
        <v>591</v>
      </c>
      <c r="G9" s="36" t="str">
        <f aca="false">CO_ORDINATES(F9)</f>
        <v>56.9087686,24.2471053</v>
      </c>
      <c r="H9" s="12" t="s">
        <v>592</v>
      </c>
      <c r="I9" s="36" t="str">
        <f aca="false">CO_ORDINATES(H9)</f>
        <v>55.874570250000005,26.58296620964495</v>
      </c>
      <c r="J9" s="12" t="n">
        <v>67799999</v>
      </c>
      <c r="K9" s="12" t="s">
        <v>593</v>
      </c>
      <c r="L9" s="12" t="s">
        <v>594</v>
      </c>
      <c r="M9" s="8" t="n">
        <v>328</v>
      </c>
      <c r="N9" s="8" t="s">
        <v>595</v>
      </c>
      <c r="O9" s="12"/>
      <c r="P9" s="12"/>
      <c r="Q9" s="12"/>
      <c r="R9" s="12"/>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row>
    <row r="10" s="23" customFormat="true" ht="27" hidden="false" customHeight="false" outlineLevel="0" collapsed="false">
      <c r="A10" s="6"/>
      <c r="B10" s="7" t="s">
        <v>596</v>
      </c>
      <c r="C10" s="7" t="s">
        <v>551</v>
      </c>
      <c r="D10" s="7"/>
      <c r="E10" s="7" t="s">
        <v>597</v>
      </c>
      <c r="F10" s="7" t="s">
        <v>598</v>
      </c>
      <c r="G10" s="36" t="str">
        <f aca="false">CO_ORDINATES(F10)</f>
        <v>55.8700945,26.5427684</v>
      </c>
      <c r="H10" s="7" t="s">
        <v>599</v>
      </c>
      <c r="I10" s="36" t="str">
        <f aca="false">CO_ORDINATES(H10)</f>
        <v>55.900815,26.539939</v>
      </c>
      <c r="J10" s="7" t="s">
        <v>600</v>
      </c>
      <c r="K10" s="7"/>
      <c r="L10" s="7"/>
      <c r="M10" s="8" t="n">
        <v>123</v>
      </c>
      <c r="N10" s="8" t="s">
        <v>601</v>
      </c>
      <c r="O10" s="7"/>
      <c r="P10" s="7"/>
      <c r="Q10" s="7"/>
      <c r="R10" s="7"/>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row>
    <row r="11" s="23" customFormat="true" ht="41.25" hidden="false" customHeight="false" outlineLevel="0" collapsed="false">
      <c r="A11" s="6" t="s">
        <v>58</v>
      </c>
      <c r="B11" s="7" t="s">
        <v>602</v>
      </c>
      <c r="C11" s="7" t="s">
        <v>551</v>
      </c>
      <c r="D11" s="7"/>
      <c r="E11" s="7" t="s">
        <v>603</v>
      </c>
      <c r="F11" s="7" t="s">
        <v>604</v>
      </c>
      <c r="G11" s="36" t="str">
        <f aca="false">CO_ORDINATES(F11)</f>
        <v>56.93188775,24.013361500000002</v>
      </c>
      <c r="H11" s="7" t="s">
        <v>605</v>
      </c>
      <c r="I11" s="36" t="str">
        <f aca="false">CO_ORDINATES(H11)</f>
        <v>55.8835585,26.5235389</v>
      </c>
      <c r="J11" s="7" t="s">
        <v>606</v>
      </c>
      <c r="K11" s="7" t="s">
        <v>607</v>
      </c>
      <c r="L11" s="7" t="s">
        <v>608</v>
      </c>
      <c r="M11" s="8" t="s">
        <v>609</v>
      </c>
      <c r="N11" s="8" t="s">
        <v>610</v>
      </c>
      <c r="O11" s="7"/>
      <c r="P11" s="7"/>
      <c r="Q11" s="7"/>
      <c r="R11" s="7"/>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row>
    <row r="12" s="14" customFormat="true" ht="41.25" hidden="false" customHeight="false" outlineLevel="0" collapsed="false">
      <c r="A12" s="11"/>
      <c r="B12" s="11" t="s">
        <v>611</v>
      </c>
      <c r="C12" s="11" t="s">
        <v>612</v>
      </c>
      <c r="D12" s="11"/>
      <c r="E12" s="11" t="s">
        <v>613</v>
      </c>
      <c r="F12" s="11" t="s">
        <v>614</v>
      </c>
      <c r="G12" s="36" t="str">
        <f aca="false">CO_ORDINATES(F12)</f>
        <v>55.89970805,26.5508504</v>
      </c>
      <c r="H12" s="11" t="s">
        <v>614</v>
      </c>
      <c r="I12" s="36" t="str">
        <f aca="false">CO_ORDINATES(H12)</f>
        <v>55.89970805,26.5508504</v>
      </c>
      <c r="J12" s="11" t="s">
        <v>615</v>
      </c>
      <c r="K12" s="11" t="s">
        <v>616</v>
      </c>
      <c r="L12" s="11" t="s">
        <v>617</v>
      </c>
      <c r="M12" s="13" t="n">
        <v>69</v>
      </c>
      <c r="N12" s="13" t="s">
        <v>618</v>
      </c>
      <c r="O12" s="11"/>
      <c r="P12" s="11"/>
      <c r="Q12" s="11"/>
      <c r="R12" s="11"/>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row>
    <row r="13" s="10" customFormat="true" ht="27" hidden="false" customHeight="false" outlineLevel="0" collapsed="false">
      <c r="A13" s="6"/>
      <c r="B13" s="6" t="s">
        <v>619</v>
      </c>
      <c r="C13" s="6" t="s">
        <v>620</v>
      </c>
      <c r="D13" s="6"/>
      <c r="E13" s="6" t="s">
        <v>621</v>
      </c>
      <c r="F13" s="6" t="s">
        <v>622</v>
      </c>
      <c r="G13" s="36" t="str">
        <f aca="false">CO_ORDINATES(F13)</f>
        <v>55.89920925,26.551385560813657</v>
      </c>
      <c r="H13" s="6" t="s">
        <v>622</v>
      </c>
      <c r="I13" s="36" t="str">
        <f aca="false">CO_ORDINATES(H13)</f>
        <v>55.89920925,26.551385560813657</v>
      </c>
      <c r="J13" s="6" t="n">
        <v>26826644</v>
      </c>
      <c r="K13" s="6" t="s">
        <v>623</v>
      </c>
      <c r="L13" s="6"/>
      <c r="M13" s="13" t="n">
        <v>9</v>
      </c>
      <c r="N13" s="13" t="s">
        <v>624</v>
      </c>
      <c r="O13" s="6"/>
      <c r="P13" s="6"/>
      <c r="Q13" s="6"/>
      <c r="R13" s="6"/>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row>
    <row r="14" s="10" customFormat="true" ht="69" hidden="false" customHeight="false" outlineLevel="0" collapsed="false">
      <c r="A14" s="6" t="s">
        <v>58</v>
      </c>
      <c r="B14" s="7" t="s">
        <v>625</v>
      </c>
      <c r="C14" s="7" t="s">
        <v>626</v>
      </c>
      <c r="D14" s="7"/>
      <c r="E14" s="7" t="s">
        <v>627</v>
      </c>
      <c r="F14" s="7" t="s">
        <v>628</v>
      </c>
      <c r="G14" s="36" t="str">
        <f aca="false">CO_ORDINATES(F14)</f>
        <v>55.896470949999994,26.533079891406572</v>
      </c>
      <c r="H14" s="7" t="s">
        <v>628</v>
      </c>
      <c r="I14" s="36" t="str">
        <f aca="false">CO_ORDINATES(H14)</f>
        <v>55.896470949999994,26.533079891406572</v>
      </c>
      <c r="J14" s="7" t="s">
        <v>629</v>
      </c>
      <c r="K14" s="7" t="s">
        <v>630</v>
      </c>
      <c r="L14" s="7" t="s">
        <v>631</v>
      </c>
      <c r="M14" s="8" t="n">
        <v>113</v>
      </c>
      <c r="N14" s="8" t="s">
        <v>632</v>
      </c>
      <c r="O14" s="7"/>
      <c r="P14" s="7"/>
      <c r="Q14" s="7"/>
      <c r="R14" s="7"/>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row>
    <row r="15" s="10" customFormat="true" ht="27" hidden="false" customHeight="false" outlineLevel="0" collapsed="false">
      <c r="A15" s="6"/>
      <c r="B15" s="7" t="s">
        <v>633</v>
      </c>
      <c r="C15" s="7" t="s">
        <v>634</v>
      </c>
      <c r="D15" s="7"/>
      <c r="E15" s="7" t="s">
        <v>635</v>
      </c>
      <c r="F15" s="7" t="s">
        <v>636</v>
      </c>
      <c r="G15" s="36" t="str">
        <f aca="false">CO_ORDINATES(F15)</f>
        <v>55.8654253,26.5205698</v>
      </c>
      <c r="H15" s="7" t="s">
        <v>637</v>
      </c>
      <c r="I15" s="36" t="str">
        <f aca="false">CO_ORDINATES(H15)</f>
        <v>55.8654253,26.5205698</v>
      </c>
      <c r="J15" s="7" t="s">
        <v>638</v>
      </c>
      <c r="K15" s="7" t="s">
        <v>639</v>
      </c>
      <c r="L15" s="7"/>
      <c r="M15" s="8" t="n">
        <v>31</v>
      </c>
      <c r="N15" s="8" t="s">
        <v>640</v>
      </c>
      <c r="O15" s="7"/>
      <c r="P15" s="7"/>
      <c r="Q15" s="7"/>
      <c r="R15" s="7"/>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row>
  </sheetData>
  <autoFilter ref="A1:R1"/>
  <hyperlinks>
    <hyperlink ref="K3" r:id="rId2" display="buvmehanizacijad@inbox.lv"/>
    <hyperlink ref="L3" r:id="rId3" display="www.buvmehanizacija.lv"/>
    <hyperlink ref="K4" r:id="rId4" display="mehanizacija@apollo.lv"/>
    <hyperlink ref="L4" r:id="rId5" display="https://www.daugavpilsbuvmehanizacija.lv/"/>
    <hyperlink ref="K7" r:id="rId6" display="pserskis@gmail.com"/>
    <hyperlink ref="K9" r:id="rId7" display="info@ecobaltiavide.lv"/>
    <hyperlink ref="L9" r:id="rId8" display="https://www.ecobaltiavide.lv"/>
    <hyperlink ref="K11" r:id="rId9" display="daugavpils@storent.com"/>
    <hyperlink ref="L11" r:id="rId10" display="https://www.storent.lv/"/>
    <hyperlink ref="K12" r:id="rId11" display="ofice@latgalesceldaris.lv"/>
    <hyperlink ref="L12" r:id="rId12" display="https://www.latgalesceldaris.lv"/>
    <hyperlink ref="K13" r:id="rId13" display="danmet@inbox.lv"/>
    <hyperlink ref="K14" r:id="rId14" display="specatu@specatu.lv"/>
    <hyperlink ref="L14" r:id="rId15" display="http://www.specatu.lv/"/>
    <hyperlink ref="K15" r:id="rId16" display="ofiss@builder.lv"/>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7"/>
  <legacyDrawing r:id="rId1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H4"/>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selection pane="topLeft" activeCell="G20" activeCellId="0" sqref="G20"/>
    </sheetView>
  </sheetViews>
  <sheetFormatPr defaultColWidth="8.609375" defaultRowHeight="13.5" zeroHeight="false" outlineLevelRow="0" outlineLevelCol="0"/>
  <cols>
    <col collapsed="false" customWidth="true" hidden="false" outlineLevel="0" max="1" min="1" style="0" width="7.9"/>
    <col collapsed="false" customWidth="true" hidden="false" outlineLevel="0" max="2" min="2" style="0" width="14.9"/>
    <col collapsed="false" customWidth="true" hidden="false" outlineLevel="0" max="3" min="3" style="0" width="14"/>
    <col collapsed="false" customWidth="true" hidden="false" outlineLevel="0" max="4" min="4" style="0" width="14.51"/>
    <col collapsed="false" customWidth="true" hidden="false" outlineLevel="0" max="5" min="5" style="0" width="16.7"/>
    <col collapsed="false" customWidth="true" hidden="false" outlineLevel="0" max="6" min="6" style="0" width="19.5"/>
    <col collapsed="false" customWidth="true" hidden="false" outlineLevel="0" max="7" min="7" style="0" width="22.9"/>
    <col collapsed="false" customWidth="true" hidden="false" outlineLevel="0" max="8" min="8" style="0" width="18.6"/>
    <col collapsed="false" customWidth="true" hidden="false" outlineLevel="0" max="9" min="9" style="0" width="17.7"/>
    <col collapsed="false" customWidth="true" hidden="false" outlineLevel="0" max="10" min="10" style="0" width="12.7"/>
    <col collapsed="false" customWidth="true" hidden="false" outlineLevel="0" max="11" min="11" style="0" width="14.3"/>
    <col collapsed="false" customWidth="true" hidden="false" outlineLevel="0" max="12" min="12" style="0" width="15.6"/>
    <col collapsed="false" customWidth="true" hidden="false" outlineLevel="0" max="15" min="15" style="0" width="22.09"/>
    <col collapsed="false" customWidth="true" hidden="false" outlineLevel="0" max="34" min="16" style="2" width="8.7"/>
  </cols>
  <sheetData>
    <row r="1" customFormat="false" ht="30.75" hidden="false" customHeight="false" outlineLevel="0" collapsed="false">
      <c r="A1" s="3" t="s">
        <v>0</v>
      </c>
      <c r="B1" s="3" t="s">
        <v>1</v>
      </c>
      <c r="C1" s="3" t="s">
        <v>2</v>
      </c>
      <c r="D1" s="3" t="s">
        <v>3</v>
      </c>
      <c r="E1" s="3" t="s">
        <v>4</v>
      </c>
      <c r="F1" s="3" t="s">
        <v>7</v>
      </c>
      <c r="G1" s="3" t="s">
        <v>10</v>
      </c>
      <c r="H1" s="3" t="s">
        <v>11</v>
      </c>
      <c r="I1" s="3" t="s">
        <v>12</v>
      </c>
      <c r="J1" s="57" t="s">
        <v>13</v>
      </c>
      <c r="K1" s="58" t="s">
        <v>14</v>
      </c>
      <c r="L1" s="5" t="s">
        <v>15</v>
      </c>
      <c r="M1" s="3"/>
      <c r="N1" s="3"/>
      <c r="O1" s="3"/>
    </row>
    <row r="2" s="10" customFormat="true" ht="54.75" hidden="false" customHeight="false" outlineLevel="0" collapsed="false">
      <c r="A2" s="17"/>
      <c r="B2" s="17" t="s">
        <v>641</v>
      </c>
      <c r="C2" s="17" t="s">
        <v>642</v>
      </c>
      <c r="D2" s="17" t="s">
        <v>643</v>
      </c>
      <c r="E2" s="17" t="s">
        <v>644</v>
      </c>
      <c r="F2" s="17" t="s">
        <v>644</v>
      </c>
      <c r="G2" s="17" t="s">
        <v>645</v>
      </c>
      <c r="H2" s="17"/>
      <c r="I2" s="17"/>
      <c r="J2" s="59" t="n">
        <v>5</v>
      </c>
      <c r="K2" s="59" t="s">
        <v>646</v>
      </c>
      <c r="L2" s="17" t="s">
        <v>647</v>
      </c>
      <c r="M2" s="17"/>
      <c r="N2" s="17"/>
      <c r="O2" s="17"/>
      <c r="P2" s="9"/>
      <c r="Q2" s="9"/>
      <c r="R2" s="9"/>
      <c r="S2" s="9"/>
      <c r="T2" s="9"/>
      <c r="U2" s="9"/>
      <c r="V2" s="9"/>
      <c r="W2" s="9"/>
      <c r="X2" s="9"/>
      <c r="Y2" s="9"/>
      <c r="Z2" s="9"/>
      <c r="AA2" s="9"/>
      <c r="AB2" s="9"/>
      <c r="AC2" s="9"/>
      <c r="AD2" s="9"/>
      <c r="AE2" s="9"/>
      <c r="AF2" s="9"/>
      <c r="AG2" s="9"/>
      <c r="AH2" s="9"/>
    </row>
    <row r="3" s="56" customFormat="true" ht="54.75" hidden="false" customHeight="false" outlineLevel="0" collapsed="false">
      <c r="A3" s="6"/>
      <c r="B3" s="7" t="s">
        <v>648</v>
      </c>
      <c r="C3" s="7" t="s">
        <v>642</v>
      </c>
      <c r="D3" s="7" t="s">
        <v>649</v>
      </c>
      <c r="E3" s="7" t="s">
        <v>650</v>
      </c>
      <c r="F3" s="7" t="s">
        <v>650</v>
      </c>
      <c r="G3" s="7" t="s">
        <v>651</v>
      </c>
      <c r="H3" s="7" t="s">
        <v>652</v>
      </c>
      <c r="I3" s="7"/>
      <c r="J3" s="60" t="n">
        <v>11</v>
      </c>
      <c r="K3" s="60" t="s">
        <v>653</v>
      </c>
      <c r="L3" s="7"/>
      <c r="M3" s="7"/>
      <c r="N3" s="7" t="s">
        <v>654</v>
      </c>
      <c r="O3" s="7" t="s">
        <v>655</v>
      </c>
      <c r="P3" s="9"/>
      <c r="Q3" s="9"/>
      <c r="R3" s="9"/>
      <c r="S3" s="9"/>
      <c r="T3" s="9"/>
      <c r="U3" s="9"/>
      <c r="V3" s="9"/>
      <c r="W3" s="9"/>
      <c r="X3" s="9"/>
      <c r="Y3" s="9"/>
      <c r="Z3" s="9"/>
      <c r="AA3" s="9"/>
      <c r="AB3" s="9"/>
      <c r="AC3" s="9"/>
      <c r="AD3" s="9"/>
      <c r="AE3" s="9"/>
      <c r="AF3" s="9"/>
      <c r="AG3" s="9"/>
      <c r="AH3" s="9"/>
    </row>
    <row r="4" s="14" customFormat="true" ht="54.75" hidden="false" customHeight="false" outlineLevel="0" collapsed="false">
      <c r="A4" s="6"/>
      <c r="B4" s="7" t="s">
        <v>656</v>
      </c>
      <c r="C4" s="7" t="s">
        <v>642</v>
      </c>
      <c r="D4" s="7" t="s">
        <v>657</v>
      </c>
      <c r="E4" s="7" t="s">
        <v>658</v>
      </c>
      <c r="F4" s="7" t="s">
        <v>658</v>
      </c>
      <c r="G4" s="7"/>
      <c r="H4" s="7"/>
      <c r="I4" s="7"/>
      <c r="J4" s="60" t="n">
        <v>5</v>
      </c>
      <c r="K4" s="60" t="s">
        <v>659</v>
      </c>
      <c r="L4" s="7"/>
      <c r="M4" s="7"/>
      <c r="N4" s="7" t="s">
        <v>654</v>
      </c>
      <c r="O4" s="7" t="s">
        <v>660</v>
      </c>
      <c r="P4" s="9"/>
      <c r="Q4" s="9"/>
      <c r="R4" s="9"/>
      <c r="S4" s="9"/>
      <c r="T4" s="9"/>
      <c r="U4" s="9"/>
      <c r="V4" s="9"/>
      <c r="W4" s="9"/>
      <c r="X4" s="9"/>
      <c r="Y4" s="9"/>
      <c r="Z4" s="9"/>
      <c r="AA4" s="9"/>
      <c r="AB4" s="9"/>
      <c r="AC4" s="9"/>
      <c r="AD4" s="9"/>
      <c r="AE4" s="9"/>
      <c r="AF4" s="9"/>
      <c r="AG4" s="9"/>
      <c r="AH4" s="9"/>
    </row>
  </sheetData>
  <hyperlinks>
    <hyperlink ref="H3" r:id="rId2" display="daugavpilsgaita@gmail.com"/>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C16" colorId="64" zoomScale="100" zoomScaleNormal="100" zoomScalePageLayoutView="100" workbookViewId="0">
      <selection pane="topLeft" activeCell="B7" activeCellId="0" sqref="B7"/>
    </sheetView>
  </sheetViews>
  <sheetFormatPr defaultColWidth="10.69140625" defaultRowHeight="13.5" zeroHeight="false" outlineLevelRow="0" outlineLevelCol="0"/>
  <cols>
    <col collapsed="false" customWidth="true" hidden="false" outlineLevel="0" max="1" min="1" style="0" width="8.7"/>
    <col collapsed="false" customWidth="true" hidden="false" outlineLevel="0" max="2" min="2" style="0" width="50.09"/>
    <col collapsed="false" customWidth="true" hidden="false" outlineLevel="0" max="3" min="3" style="0" width="18.2"/>
    <col collapsed="false" customWidth="true" hidden="false" outlineLevel="0" max="4" min="4" style="0" width="46"/>
    <col collapsed="false" customWidth="true" hidden="false" outlineLevel="0" max="5" min="5" style="0" width="35.29"/>
    <col collapsed="false" customWidth="true" hidden="false" outlineLevel="0" max="6" min="6" style="0" width="32.2"/>
    <col collapsed="false" customWidth="true" hidden="false" outlineLevel="0" max="7" min="7" style="0" width="21.3"/>
    <col collapsed="false" customWidth="true" hidden="false" outlineLevel="0" max="8" min="8" style="0" width="34.5"/>
    <col collapsed="false" customWidth="true" hidden="false" outlineLevel="0" max="9" min="9" style="0" width="34.69"/>
    <col collapsed="false" customWidth="true" hidden="false" outlineLevel="0" max="10" min="10" style="61" width="23.7"/>
    <col collapsed="false" customWidth="true" hidden="false" outlineLevel="0" max="11" min="11" style="61" width="14.6"/>
    <col collapsed="false" customWidth="true" hidden="false" outlineLevel="0" max="12" min="12" style="24" width="33.2"/>
    <col collapsed="false" customWidth="true" hidden="false" outlineLevel="0" max="14" min="14" style="0" width="17.7"/>
    <col collapsed="false" customWidth="true" hidden="false" outlineLevel="0" max="15" min="15" style="0" width="23.7"/>
    <col collapsed="false" customWidth="true" hidden="false" outlineLevel="0" max="1024" min="1022" style="0" width="8.7"/>
  </cols>
  <sheetData>
    <row r="1" s="62" customFormat="true" ht="15" hidden="false" customHeight="false" outlineLevel="0" collapsed="false">
      <c r="A1" s="62" t="s">
        <v>0</v>
      </c>
      <c r="B1" s="62" t="s">
        <v>1</v>
      </c>
      <c r="C1" s="62" t="s">
        <v>2</v>
      </c>
      <c r="D1" s="62" t="s">
        <v>3</v>
      </c>
      <c r="E1" s="62" t="s">
        <v>4</v>
      </c>
      <c r="F1" s="62" t="s">
        <v>7</v>
      </c>
      <c r="G1" s="62" t="s">
        <v>10</v>
      </c>
      <c r="H1" s="62" t="s">
        <v>11</v>
      </c>
      <c r="I1" s="62" t="s">
        <v>12</v>
      </c>
      <c r="J1" s="63" t="s">
        <v>549</v>
      </c>
      <c r="K1" s="63" t="s">
        <v>14</v>
      </c>
      <c r="L1" s="64" t="s">
        <v>15</v>
      </c>
    </row>
    <row r="2" s="22" customFormat="true" ht="27" hidden="false" customHeight="false" outlineLevel="0" collapsed="false">
      <c r="A2" s="65" t="s">
        <v>58</v>
      </c>
      <c r="B2" s="66" t="s">
        <v>59</v>
      </c>
      <c r="C2" s="66" t="s">
        <v>60</v>
      </c>
      <c r="D2" s="66" t="s">
        <v>61</v>
      </c>
      <c r="E2" s="66" t="s">
        <v>62</v>
      </c>
      <c r="F2" s="66" t="s">
        <v>62</v>
      </c>
      <c r="G2" s="66" t="s">
        <v>63</v>
      </c>
      <c r="H2" s="66" t="s">
        <v>64</v>
      </c>
      <c r="I2" s="66" t="s">
        <v>65</v>
      </c>
      <c r="J2" s="67" t="n">
        <v>261</v>
      </c>
      <c r="K2" s="67" t="s">
        <v>66</v>
      </c>
      <c r="L2" s="68" t="s">
        <v>661</v>
      </c>
      <c r="M2" s="66"/>
      <c r="N2" s="66" t="s">
        <v>654</v>
      </c>
      <c r="O2" s="66"/>
    </row>
    <row r="3" s="22" customFormat="true" ht="27" hidden="false" customHeight="false" outlineLevel="0" collapsed="false">
      <c r="A3" s="69"/>
      <c r="B3" s="69" t="s">
        <v>89</v>
      </c>
      <c r="C3" s="69" t="s">
        <v>101</v>
      </c>
      <c r="D3" s="69" t="s">
        <v>93</v>
      </c>
      <c r="E3" s="34" t="s">
        <v>578</v>
      </c>
      <c r="F3" s="34" t="s">
        <v>578</v>
      </c>
      <c r="G3" s="69" t="s">
        <v>95</v>
      </c>
      <c r="H3" s="69" t="s">
        <v>96</v>
      </c>
      <c r="I3" s="70" t="s">
        <v>97</v>
      </c>
      <c r="J3" s="71" t="n">
        <v>128</v>
      </c>
      <c r="K3" s="69" t="s">
        <v>98</v>
      </c>
      <c r="L3" s="34" t="s">
        <v>662</v>
      </c>
      <c r="M3" s="69"/>
      <c r="N3" s="69"/>
      <c r="O3" s="69"/>
    </row>
    <row r="4" s="22" customFormat="true" ht="27" hidden="false" customHeight="false" outlineLevel="0" collapsed="false">
      <c r="A4" s="22" t="s">
        <v>58</v>
      </c>
      <c r="B4" s="22" t="s">
        <v>100</v>
      </c>
      <c r="C4" s="22" t="s">
        <v>101</v>
      </c>
      <c r="D4" s="22" t="s">
        <v>103</v>
      </c>
      <c r="E4" s="22" t="s">
        <v>104</v>
      </c>
      <c r="F4" s="22" t="s">
        <v>104</v>
      </c>
      <c r="G4" s="22" t="n">
        <v>27014080</v>
      </c>
      <c r="H4" s="22" t="s">
        <v>105</v>
      </c>
      <c r="I4" s="22" t="s">
        <v>106</v>
      </c>
      <c r="J4" s="72" t="n">
        <v>12</v>
      </c>
      <c r="K4" s="72" t="s">
        <v>107</v>
      </c>
      <c r="L4" s="73" t="s">
        <v>663</v>
      </c>
    </row>
    <row r="5" s="65" customFormat="true" ht="27" hidden="false" customHeight="false" outlineLevel="0" collapsed="false">
      <c r="A5" s="22"/>
      <c r="B5" s="22" t="s">
        <v>109</v>
      </c>
      <c r="C5" s="22" t="s">
        <v>101</v>
      </c>
      <c r="D5" s="22" t="s">
        <v>110</v>
      </c>
      <c r="E5" s="22" t="s">
        <v>111</v>
      </c>
      <c r="F5" s="22" t="s">
        <v>111</v>
      </c>
      <c r="G5" s="22" t="s">
        <v>112</v>
      </c>
      <c r="H5" s="22" t="s">
        <v>113</v>
      </c>
      <c r="I5" s="22"/>
      <c r="J5" s="72" t="n">
        <v>9</v>
      </c>
      <c r="K5" s="72" t="s">
        <v>114</v>
      </c>
      <c r="L5" s="10" t="s">
        <v>664</v>
      </c>
      <c r="M5" s="22"/>
      <c r="N5" s="22"/>
      <c r="O5" s="22"/>
    </row>
    <row r="6" s="22" customFormat="true" ht="27" hidden="false" customHeight="false" outlineLevel="0" collapsed="false">
      <c r="A6" s="74"/>
      <c r="B6" s="74" t="s">
        <v>115</v>
      </c>
      <c r="C6" s="74" t="s">
        <v>101</v>
      </c>
      <c r="D6" s="74" t="s">
        <v>116</v>
      </c>
      <c r="E6" s="74" t="s">
        <v>117</v>
      </c>
      <c r="F6" s="74" t="s">
        <v>117</v>
      </c>
      <c r="G6" s="74" t="n">
        <v>22333305</v>
      </c>
      <c r="H6" s="74" t="s">
        <v>118</v>
      </c>
      <c r="I6" s="74" t="s">
        <v>119</v>
      </c>
      <c r="J6" s="75" t="n">
        <v>11</v>
      </c>
      <c r="K6" s="75" t="s">
        <v>120</v>
      </c>
      <c r="L6" s="23" t="s">
        <v>665</v>
      </c>
      <c r="M6" s="74"/>
      <c r="N6" s="74"/>
      <c r="O6" s="74"/>
    </row>
    <row r="7" s="69" customFormat="true" ht="110.25" hidden="false" customHeight="false" outlineLevel="0" collapsed="false">
      <c r="A7" s="22"/>
      <c r="B7" s="22" t="s">
        <v>121</v>
      </c>
      <c r="C7" s="22" t="s">
        <v>101</v>
      </c>
      <c r="D7" s="22" t="s">
        <v>122</v>
      </c>
      <c r="E7" s="22" t="s">
        <v>123</v>
      </c>
      <c r="F7" s="22" t="s">
        <v>124</v>
      </c>
      <c r="G7" s="22" t="s">
        <v>125</v>
      </c>
      <c r="H7" s="22" t="s">
        <v>126</v>
      </c>
      <c r="I7" s="22"/>
      <c r="J7" s="72" t="n">
        <v>8</v>
      </c>
      <c r="K7" s="72" t="s">
        <v>127</v>
      </c>
      <c r="L7" s="10" t="s">
        <v>666</v>
      </c>
      <c r="M7" s="22"/>
      <c r="N7" s="22"/>
      <c r="O7" s="22"/>
    </row>
    <row r="8" s="69" customFormat="true" ht="13.5" hidden="false" customHeight="false" outlineLevel="0" collapsed="false">
      <c r="A8" s="22" t="s">
        <v>58</v>
      </c>
      <c r="B8" s="76" t="s">
        <v>128</v>
      </c>
      <c r="C8" s="22" t="s">
        <v>101</v>
      </c>
      <c r="D8" s="76" t="s">
        <v>130</v>
      </c>
      <c r="E8" s="76" t="s">
        <v>131</v>
      </c>
      <c r="F8" s="76" t="s">
        <v>131</v>
      </c>
      <c r="G8" s="76" t="s">
        <v>132</v>
      </c>
      <c r="H8" s="76" t="s">
        <v>133</v>
      </c>
      <c r="I8" s="76" t="s">
        <v>134</v>
      </c>
      <c r="J8" s="77" t="n">
        <v>23</v>
      </c>
      <c r="K8" s="77" t="s">
        <v>135</v>
      </c>
      <c r="L8" s="78" t="s">
        <v>667</v>
      </c>
      <c r="M8" s="76"/>
      <c r="N8" s="76" t="s">
        <v>654</v>
      </c>
      <c r="O8" s="76"/>
    </row>
    <row r="9" s="22" customFormat="true" ht="13.5" hidden="false" customHeight="false" outlineLevel="0" collapsed="false">
      <c r="B9" s="76" t="s">
        <v>136</v>
      </c>
      <c r="C9" s="22" t="s">
        <v>101</v>
      </c>
      <c r="D9" s="76" t="s">
        <v>137</v>
      </c>
      <c r="E9" s="76" t="s">
        <v>138</v>
      </c>
      <c r="F9" s="76" t="s">
        <v>139</v>
      </c>
      <c r="G9" s="76" t="s">
        <v>140</v>
      </c>
      <c r="H9" s="76" t="s">
        <v>141</v>
      </c>
      <c r="I9" s="76" t="s">
        <v>142</v>
      </c>
      <c r="J9" s="77" t="n">
        <v>8</v>
      </c>
      <c r="K9" s="77" t="s">
        <v>143</v>
      </c>
      <c r="L9" s="78" t="s">
        <v>667</v>
      </c>
      <c r="M9" s="76"/>
      <c r="N9" s="76" t="s">
        <v>654</v>
      </c>
      <c r="O9" s="76"/>
    </row>
    <row r="10" s="22" customFormat="true" ht="13.5" hidden="false" customHeight="false" outlineLevel="0" collapsed="false">
      <c r="A10" s="74"/>
      <c r="B10" s="79" t="s">
        <v>144</v>
      </c>
      <c r="C10" s="74" t="s">
        <v>101</v>
      </c>
      <c r="D10" s="79" t="s">
        <v>145</v>
      </c>
      <c r="E10" s="79" t="s">
        <v>146</v>
      </c>
      <c r="F10" s="79" t="s">
        <v>147</v>
      </c>
      <c r="G10" s="79" t="s">
        <v>148</v>
      </c>
      <c r="H10" s="79" t="s">
        <v>149</v>
      </c>
      <c r="I10" s="79" t="s">
        <v>150</v>
      </c>
      <c r="J10" s="80" t="n">
        <v>3</v>
      </c>
      <c r="K10" s="80"/>
      <c r="L10" s="81"/>
      <c r="M10" s="79"/>
      <c r="N10" s="79" t="s">
        <v>668</v>
      </c>
      <c r="O10" s="79"/>
    </row>
    <row r="11" s="22" customFormat="true" ht="27" hidden="false" customHeight="false" outlineLevel="0" collapsed="false">
      <c r="A11" s="74"/>
      <c r="B11" s="79" t="s">
        <v>669</v>
      </c>
      <c r="C11" s="79" t="s">
        <v>101</v>
      </c>
      <c r="D11" s="79" t="s">
        <v>153</v>
      </c>
      <c r="E11" s="79" t="s">
        <v>154</v>
      </c>
      <c r="F11" s="79" t="s">
        <v>154</v>
      </c>
      <c r="G11" s="79" t="n">
        <v>65433650</v>
      </c>
      <c r="H11" s="79" t="s">
        <v>155</v>
      </c>
      <c r="I11" s="79"/>
      <c r="J11" s="80" t="n">
        <v>20</v>
      </c>
      <c r="K11" s="80" t="s">
        <v>156</v>
      </c>
      <c r="L11" s="81" t="s">
        <v>670</v>
      </c>
      <c r="M11" s="79"/>
      <c r="N11" s="79" t="s">
        <v>670</v>
      </c>
      <c r="O11" s="79" t="s">
        <v>157</v>
      </c>
    </row>
    <row r="12" s="22" customFormat="true" ht="13.5" hidden="false" customHeight="false" outlineLevel="0" collapsed="false">
      <c r="A12" s="22" t="s">
        <v>58</v>
      </c>
      <c r="B12" s="22" t="s">
        <v>67</v>
      </c>
      <c r="C12" s="22" t="s">
        <v>68</v>
      </c>
      <c r="D12" s="22" t="s">
        <v>69</v>
      </c>
      <c r="E12" s="22" t="s">
        <v>70</v>
      </c>
      <c r="F12" s="22" t="s">
        <v>70</v>
      </c>
      <c r="G12" s="22" t="s">
        <v>71</v>
      </c>
      <c r="H12" s="22" t="s">
        <v>72</v>
      </c>
      <c r="I12" s="22" t="s">
        <v>73</v>
      </c>
      <c r="J12" s="72" t="n">
        <v>198</v>
      </c>
      <c r="K12" s="72" t="s">
        <v>74</v>
      </c>
      <c r="L12" s="10" t="s">
        <v>667</v>
      </c>
    </row>
    <row r="13" s="74" customFormat="true" ht="13.5" hidden="false" customHeight="false" outlineLevel="0" collapsed="false">
      <c r="A13" s="22" t="s">
        <v>58</v>
      </c>
      <c r="B13" s="76" t="s">
        <v>75</v>
      </c>
      <c r="C13" s="76" t="s">
        <v>68</v>
      </c>
      <c r="D13" s="76" t="s">
        <v>69</v>
      </c>
      <c r="E13" s="76" t="s">
        <v>76</v>
      </c>
      <c r="F13" s="76" t="s">
        <v>77</v>
      </c>
      <c r="G13" s="76" t="s">
        <v>78</v>
      </c>
      <c r="H13" s="76" t="s">
        <v>79</v>
      </c>
      <c r="I13" s="76" t="s">
        <v>80</v>
      </c>
      <c r="J13" s="77" t="n">
        <v>557</v>
      </c>
      <c r="K13" s="77" t="s">
        <v>81</v>
      </c>
      <c r="L13" s="78" t="s">
        <v>671</v>
      </c>
      <c r="M13" s="76"/>
      <c r="N13" s="76" t="s">
        <v>654</v>
      </c>
      <c r="O13" s="76"/>
    </row>
    <row r="14" s="22" customFormat="true" ht="13.5" hidden="false" customHeight="false" outlineLevel="0" collapsed="false">
      <c r="A14" s="82"/>
      <c r="B14" s="82" t="s">
        <v>641</v>
      </c>
      <c r="C14" s="82" t="s">
        <v>642</v>
      </c>
      <c r="D14" s="82" t="s">
        <v>643</v>
      </c>
      <c r="E14" s="83" t="s">
        <v>644</v>
      </c>
      <c r="F14" s="83" t="s">
        <v>644</v>
      </c>
      <c r="G14" s="82" t="s">
        <v>645</v>
      </c>
      <c r="H14" s="82"/>
      <c r="I14" s="82"/>
      <c r="J14" s="84" t="n">
        <v>5</v>
      </c>
      <c r="K14" s="84" t="s">
        <v>646</v>
      </c>
      <c r="L14" s="56" t="s">
        <v>647</v>
      </c>
      <c r="M14" s="82"/>
      <c r="N14" s="82"/>
      <c r="O14" s="82"/>
    </row>
    <row r="15" s="82" customFormat="true" ht="13.5" hidden="false" customHeight="false" outlineLevel="0" collapsed="false">
      <c r="A15" s="22"/>
      <c r="B15" s="76" t="s">
        <v>648</v>
      </c>
      <c r="C15" s="76" t="s">
        <v>642</v>
      </c>
      <c r="D15" s="76" t="s">
        <v>649</v>
      </c>
      <c r="E15" s="76" t="s">
        <v>650</v>
      </c>
      <c r="F15" s="76" t="s">
        <v>650</v>
      </c>
      <c r="G15" s="76" t="s">
        <v>651</v>
      </c>
      <c r="H15" s="76" t="s">
        <v>652</v>
      </c>
      <c r="I15" s="76"/>
      <c r="J15" s="77" t="n">
        <v>11</v>
      </c>
      <c r="K15" s="77" t="s">
        <v>653</v>
      </c>
      <c r="L15" s="78"/>
      <c r="M15" s="76"/>
      <c r="N15" s="76" t="s">
        <v>654</v>
      </c>
      <c r="O15" s="78" t="s">
        <v>655</v>
      </c>
    </row>
    <row r="16" s="65" customFormat="true" ht="13.5" hidden="false" customHeight="false" outlineLevel="0" collapsed="false">
      <c r="A16" s="22"/>
      <c r="B16" s="76" t="s">
        <v>656</v>
      </c>
      <c r="C16" s="76" t="s">
        <v>642</v>
      </c>
      <c r="D16" s="76" t="s">
        <v>657</v>
      </c>
      <c r="E16" s="76" t="s">
        <v>658</v>
      </c>
      <c r="F16" s="76" t="s">
        <v>658</v>
      </c>
      <c r="G16" s="76"/>
      <c r="H16" s="76"/>
      <c r="I16" s="76"/>
      <c r="J16" s="77" t="n">
        <v>5</v>
      </c>
      <c r="K16" s="77" t="s">
        <v>659</v>
      </c>
      <c r="L16" s="78"/>
      <c r="M16" s="76"/>
      <c r="N16" s="76" t="s">
        <v>654</v>
      </c>
      <c r="O16" s="76" t="s">
        <v>660</v>
      </c>
    </row>
    <row r="17" s="65" customFormat="true" ht="27" hidden="false" customHeight="false" outlineLevel="0" collapsed="false">
      <c r="B17" s="65" t="s">
        <v>23</v>
      </c>
      <c r="C17" s="65" t="s">
        <v>24</v>
      </c>
      <c r="D17" s="65" t="s">
        <v>25</v>
      </c>
      <c r="E17" s="65" t="s">
        <v>672</v>
      </c>
      <c r="F17" s="65" t="s">
        <v>672</v>
      </c>
      <c r="G17" s="65" t="s">
        <v>27</v>
      </c>
      <c r="H17" s="65" t="s">
        <v>28</v>
      </c>
      <c r="I17" s="65" t="s">
        <v>29</v>
      </c>
      <c r="J17" s="85" t="n">
        <v>2</v>
      </c>
      <c r="K17" s="85" t="s">
        <v>30</v>
      </c>
      <c r="L17" s="14" t="s">
        <v>673</v>
      </c>
    </row>
    <row r="18" s="65" customFormat="true" ht="13.5" hidden="false" customHeight="false" outlineLevel="0" collapsed="false">
      <c r="B18" s="65" t="s">
        <v>31</v>
      </c>
      <c r="C18" s="65" t="s">
        <v>24</v>
      </c>
      <c r="D18" s="65" t="s">
        <v>32</v>
      </c>
      <c r="E18" s="65" t="s">
        <v>674</v>
      </c>
      <c r="F18" s="65" t="s">
        <v>674</v>
      </c>
      <c r="G18" s="65" t="s">
        <v>34</v>
      </c>
      <c r="H18" s="65" t="s">
        <v>35</v>
      </c>
      <c r="J18" s="85" t="n">
        <v>6</v>
      </c>
      <c r="K18" s="85" t="s">
        <v>36</v>
      </c>
      <c r="L18" s="14" t="s">
        <v>675</v>
      </c>
    </row>
    <row r="19" s="22" customFormat="true" ht="27" hidden="false" customHeight="false" outlineLevel="0" collapsed="false">
      <c r="A19" s="74"/>
      <c r="B19" s="79" t="s">
        <v>37</v>
      </c>
      <c r="C19" s="79" t="s">
        <v>24</v>
      </c>
      <c r="D19" s="79" t="s">
        <v>38</v>
      </c>
      <c r="E19" s="79" t="s">
        <v>39</v>
      </c>
      <c r="F19" s="79" t="s">
        <v>39</v>
      </c>
      <c r="G19" s="79" t="s">
        <v>40</v>
      </c>
      <c r="H19" s="79" t="s">
        <v>41</v>
      </c>
      <c r="I19" s="79" t="s">
        <v>42</v>
      </c>
      <c r="J19" s="80" t="n">
        <v>137</v>
      </c>
      <c r="K19" s="80" t="s">
        <v>43</v>
      </c>
      <c r="L19" s="81" t="s">
        <v>676</v>
      </c>
      <c r="M19" s="79"/>
      <c r="N19" s="79" t="s">
        <v>677</v>
      </c>
      <c r="O19" s="79" t="s">
        <v>678</v>
      </c>
    </row>
    <row r="20" s="22" customFormat="true" ht="13.5" hidden="false" customHeight="false" outlineLevel="0" collapsed="false">
      <c r="A20" s="65"/>
      <c r="B20" s="65" t="s">
        <v>44</v>
      </c>
      <c r="C20" s="65" t="s">
        <v>45</v>
      </c>
      <c r="D20" s="65" t="s">
        <v>46</v>
      </c>
      <c r="E20" s="65" t="s">
        <v>47</v>
      </c>
      <c r="F20" s="65" t="s">
        <v>48</v>
      </c>
      <c r="G20" s="65" t="n">
        <v>65407006</v>
      </c>
      <c r="H20" s="65"/>
      <c r="I20" s="65"/>
      <c r="J20" s="85"/>
      <c r="K20" s="85"/>
      <c r="L20" s="14" t="s">
        <v>679</v>
      </c>
      <c r="M20" s="65"/>
      <c r="N20" s="65"/>
      <c r="O20" s="65"/>
    </row>
    <row r="21" s="22" customFormat="true" ht="41.25" hidden="false" customHeight="false" outlineLevel="0" collapsed="false">
      <c r="A21" s="82"/>
      <c r="B21" s="86" t="s">
        <v>49</v>
      </c>
      <c r="C21" s="86" t="s">
        <v>50</v>
      </c>
      <c r="D21" s="86" t="s">
        <v>51</v>
      </c>
      <c r="E21" s="86" t="s">
        <v>52</v>
      </c>
      <c r="F21" s="86" t="s">
        <v>53</v>
      </c>
      <c r="G21" s="86" t="s">
        <v>54</v>
      </c>
      <c r="H21" s="86" t="s">
        <v>55</v>
      </c>
      <c r="I21" s="86" t="s">
        <v>56</v>
      </c>
      <c r="J21" s="87" t="n">
        <v>124</v>
      </c>
      <c r="K21" s="87" t="s">
        <v>57</v>
      </c>
      <c r="L21" s="88" t="s">
        <v>680</v>
      </c>
      <c r="M21" s="86"/>
      <c r="N21" s="86" t="s">
        <v>681</v>
      </c>
      <c r="O21" s="86"/>
    </row>
    <row r="22" s="74" customFormat="true" ht="13.5" hidden="false" customHeight="false" outlineLevel="0" collapsed="false">
      <c r="A22" s="22" t="s">
        <v>58</v>
      </c>
      <c r="B22" s="22" t="s">
        <v>550</v>
      </c>
      <c r="C22" s="22" t="s">
        <v>551</v>
      </c>
      <c r="D22" s="22" t="s">
        <v>552</v>
      </c>
      <c r="E22" s="22" t="s">
        <v>682</v>
      </c>
      <c r="F22" s="22" t="s">
        <v>554</v>
      </c>
      <c r="G22" s="22" t="n">
        <v>20008182</v>
      </c>
      <c r="H22" s="22" t="s">
        <v>555</v>
      </c>
      <c r="I22" s="22" t="s">
        <v>556</v>
      </c>
      <c r="J22" s="72" t="s">
        <v>557</v>
      </c>
      <c r="K22" s="72" t="s">
        <v>558</v>
      </c>
      <c r="L22" s="10" t="s">
        <v>683</v>
      </c>
      <c r="M22" s="22"/>
      <c r="N22" s="22"/>
      <c r="O22" s="22"/>
    </row>
    <row r="23" s="22" customFormat="true" ht="13.5" hidden="false" customHeight="false" outlineLevel="0" collapsed="false">
      <c r="B23" s="22" t="s">
        <v>559</v>
      </c>
      <c r="C23" s="22" t="s">
        <v>551</v>
      </c>
      <c r="D23" s="22" t="s">
        <v>560</v>
      </c>
      <c r="E23" s="22" t="s">
        <v>561</v>
      </c>
      <c r="F23" s="22" t="s">
        <v>561</v>
      </c>
      <c r="G23" s="89" t="s">
        <v>562</v>
      </c>
      <c r="H23" s="22" t="s">
        <v>563</v>
      </c>
      <c r="I23" s="22" t="s">
        <v>564</v>
      </c>
      <c r="J23" s="72" t="n">
        <v>10</v>
      </c>
      <c r="K23" s="72" t="s">
        <v>565</v>
      </c>
      <c r="L23" s="10" t="s">
        <v>684</v>
      </c>
    </row>
    <row r="24" s="65" customFormat="true" ht="13.5" hidden="false" customHeight="false" outlineLevel="0" collapsed="false">
      <c r="A24" s="22" t="s">
        <v>58</v>
      </c>
      <c r="B24" s="22" t="s">
        <v>566</v>
      </c>
      <c r="C24" s="22" t="s">
        <v>551</v>
      </c>
      <c r="D24" s="22" t="s">
        <v>567</v>
      </c>
      <c r="E24" s="22" t="s">
        <v>568</v>
      </c>
      <c r="F24" s="22" t="s">
        <v>568</v>
      </c>
      <c r="G24" s="22" t="str">
        <f aca="false">D23</f>
        <v>Pontags Juris</v>
      </c>
      <c r="H24" s="22" t="s">
        <v>569</v>
      </c>
      <c r="I24" s="22" t="s">
        <v>570</v>
      </c>
      <c r="J24" s="72" t="n">
        <v>31</v>
      </c>
      <c r="K24" s="72" t="s">
        <v>571</v>
      </c>
      <c r="L24" s="10"/>
      <c r="M24" s="22"/>
      <c r="N24" s="22"/>
      <c r="O24" s="22"/>
    </row>
    <row r="25" s="22" customFormat="true" ht="13.5" hidden="false" customHeight="false" outlineLevel="0" collapsed="false">
      <c r="A25" s="22" t="s">
        <v>58</v>
      </c>
      <c r="B25" s="22" t="s">
        <v>572</v>
      </c>
      <c r="C25" s="22" t="s">
        <v>551</v>
      </c>
      <c r="D25" s="22" t="s">
        <v>573</v>
      </c>
      <c r="E25" s="22" t="s">
        <v>561</v>
      </c>
      <c r="F25" s="22" t="s">
        <v>561</v>
      </c>
      <c r="G25" s="22" t="n">
        <f aca="false" t="array" ref="G25:G25">47:47</f>
        <v>0</v>
      </c>
      <c r="J25" s="72" t="n">
        <v>49</v>
      </c>
      <c r="K25" s="72" t="s">
        <v>574</v>
      </c>
      <c r="L25" s="10" t="s">
        <v>685</v>
      </c>
    </row>
    <row r="26" s="82" customFormat="true" ht="27" hidden="false" customHeight="false" outlineLevel="0" collapsed="false">
      <c r="A26" s="69"/>
      <c r="B26" s="69" t="s">
        <v>575</v>
      </c>
      <c r="C26" s="69" t="s">
        <v>551</v>
      </c>
      <c r="D26" s="69" t="s">
        <v>576</v>
      </c>
      <c r="E26" s="69" t="s">
        <v>577</v>
      </c>
      <c r="F26" s="34" t="s">
        <v>578</v>
      </c>
      <c r="G26" s="69" t="s">
        <v>95</v>
      </c>
      <c r="H26" s="69"/>
      <c r="I26" s="70"/>
      <c r="J26" s="71" t="n">
        <v>36</v>
      </c>
      <c r="K26" s="71" t="s">
        <v>579</v>
      </c>
      <c r="L26" s="34"/>
      <c r="M26" s="69"/>
      <c r="N26" s="69"/>
      <c r="O26" s="69"/>
    </row>
    <row r="27" s="22" customFormat="true" ht="13.5" hidden="false" customHeight="false" outlineLevel="0" collapsed="false">
      <c r="A27" s="22" t="s">
        <v>58</v>
      </c>
      <c r="B27" s="22" t="s">
        <v>580</v>
      </c>
      <c r="C27" s="22" t="s">
        <v>551</v>
      </c>
      <c r="D27" s="22" t="s">
        <v>581</v>
      </c>
      <c r="E27" s="22" t="s">
        <v>582</v>
      </c>
      <c r="F27" s="22" t="s">
        <v>582</v>
      </c>
      <c r="G27" s="22" t="n">
        <v>29668608</v>
      </c>
      <c r="H27" s="22" t="s">
        <v>583</v>
      </c>
      <c r="J27" s="72" t="n">
        <v>17</v>
      </c>
      <c r="K27" s="72" t="s">
        <v>584</v>
      </c>
      <c r="L27" s="10" t="s">
        <v>685</v>
      </c>
    </row>
    <row r="28" s="22" customFormat="true" ht="13.5" hidden="false" customHeight="false" outlineLevel="0" collapsed="false">
      <c r="B28" s="76" t="s">
        <v>585</v>
      </c>
      <c r="C28" s="76" t="s">
        <v>551</v>
      </c>
      <c r="D28" s="76" t="s">
        <v>586</v>
      </c>
      <c r="E28" s="76" t="s">
        <v>587</v>
      </c>
      <c r="F28" s="76" t="s">
        <v>587</v>
      </c>
      <c r="G28" s="76" t="n">
        <v>37125963224</v>
      </c>
      <c r="H28" s="76"/>
      <c r="I28" s="76"/>
      <c r="J28" s="77" t="n">
        <v>9</v>
      </c>
      <c r="K28" s="77" t="s">
        <v>588</v>
      </c>
      <c r="L28" s="78"/>
      <c r="M28" s="76"/>
      <c r="N28" s="76" t="s">
        <v>686</v>
      </c>
      <c r="O28" s="76" t="s">
        <v>687</v>
      </c>
    </row>
    <row r="29" s="22" customFormat="true" ht="13.5" hidden="false" customHeight="false" outlineLevel="0" collapsed="false">
      <c r="A29" s="65"/>
      <c r="B29" s="66" t="s">
        <v>589</v>
      </c>
      <c r="C29" s="66" t="s">
        <v>551</v>
      </c>
      <c r="D29" s="66" t="s">
        <v>590</v>
      </c>
      <c r="E29" s="66" t="s">
        <v>688</v>
      </c>
      <c r="F29" s="66" t="s">
        <v>592</v>
      </c>
      <c r="G29" s="66" t="n">
        <v>67799999</v>
      </c>
      <c r="H29" s="66" t="s">
        <v>593</v>
      </c>
      <c r="I29" s="66" t="s">
        <v>594</v>
      </c>
      <c r="J29" s="67" t="n">
        <v>328</v>
      </c>
      <c r="K29" s="67" t="s">
        <v>595</v>
      </c>
      <c r="L29" s="68" t="s">
        <v>689</v>
      </c>
      <c r="M29" s="66"/>
      <c r="N29" s="66" t="s">
        <v>690</v>
      </c>
      <c r="O29" s="66" t="s">
        <v>691</v>
      </c>
    </row>
    <row r="30" s="74" customFormat="true" ht="13.5" hidden="false" customHeight="false" outlineLevel="0" collapsed="false">
      <c r="A30" s="22"/>
      <c r="B30" s="76" t="s">
        <v>596</v>
      </c>
      <c r="C30" s="76" t="s">
        <v>551</v>
      </c>
      <c r="D30" s="76" t="s">
        <v>597</v>
      </c>
      <c r="E30" s="76" t="s">
        <v>598</v>
      </c>
      <c r="F30" s="76" t="s">
        <v>599</v>
      </c>
      <c r="G30" s="76" t="s">
        <v>600</v>
      </c>
      <c r="H30" s="76"/>
      <c r="I30" s="76"/>
      <c r="J30" s="77" t="n">
        <v>123</v>
      </c>
      <c r="K30" s="77" t="s">
        <v>601</v>
      </c>
      <c r="L30" s="78"/>
      <c r="M30" s="76"/>
      <c r="N30" s="76" t="s">
        <v>654</v>
      </c>
      <c r="O30" s="76" t="s">
        <v>692</v>
      </c>
    </row>
    <row r="31" s="74" customFormat="true" ht="13.5" hidden="false" customHeight="false" outlineLevel="0" collapsed="false">
      <c r="A31" s="22" t="s">
        <v>58</v>
      </c>
      <c r="B31" s="76" t="s">
        <v>602</v>
      </c>
      <c r="C31" s="76" t="s">
        <v>551</v>
      </c>
      <c r="D31" s="76" t="s">
        <v>603</v>
      </c>
      <c r="E31" s="76" t="s">
        <v>604</v>
      </c>
      <c r="F31" s="76" t="s">
        <v>605</v>
      </c>
      <c r="G31" s="76" t="s">
        <v>606</v>
      </c>
      <c r="H31" s="76" t="s">
        <v>607</v>
      </c>
      <c r="I31" s="76" t="s">
        <v>608</v>
      </c>
      <c r="J31" s="77" t="s">
        <v>693</v>
      </c>
      <c r="K31" s="77" t="s">
        <v>610</v>
      </c>
      <c r="L31" s="78" t="s">
        <v>694</v>
      </c>
      <c r="M31" s="76"/>
      <c r="N31" s="76" t="s">
        <v>695</v>
      </c>
      <c r="O31" s="76" t="s">
        <v>687</v>
      </c>
    </row>
    <row r="32" s="65" customFormat="true" ht="13.5" hidden="false" customHeight="false" outlineLevel="0" collapsed="false">
      <c r="B32" s="65" t="s">
        <v>611</v>
      </c>
      <c r="C32" s="65" t="s">
        <v>612</v>
      </c>
      <c r="D32" s="65" t="s">
        <v>613</v>
      </c>
      <c r="E32" s="65" t="s">
        <v>614</v>
      </c>
      <c r="F32" s="65" t="s">
        <v>614</v>
      </c>
      <c r="G32" s="65" t="s">
        <v>615</v>
      </c>
      <c r="H32" s="65" t="s">
        <v>616</v>
      </c>
      <c r="I32" s="65" t="s">
        <v>617</v>
      </c>
      <c r="J32" s="85" t="n">
        <v>69</v>
      </c>
      <c r="K32" s="85" t="s">
        <v>618</v>
      </c>
      <c r="L32" s="14" t="s">
        <v>696</v>
      </c>
    </row>
    <row r="33" s="22" customFormat="true" ht="13.5" hidden="false" customHeight="false" outlineLevel="0" collapsed="false">
      <c r="B33" s="22" t="s">
        <v>619</v>
      </c>
      <c r="C33" s="22" t="s">
        <v>620</v>
      </c>
      <c r="D33" s="22" t="s">
        <v>621</v>
      </c>
      <c r="E33" s="22" t="s">
        <v>622</v>
      </c>
      <c r="F33" s="22" t="s">
        <v>622</v>
      </c>
      <c r="G33" s="22" t="n">
        <v>26826644</v>
      </c>
      <c r="H33" s="22" t="s">
        <v>623</v>
      </c>
      <c r="J33" s="72" t="n">
        <v>9</v>
      </c>
      <c r="K33" s="72" t="s">
        <v>624</v>
      </c>
      <c r="L33" s="10" t="s">
        <v>697</v>
      </c>
    </row>
    <row r="34" s="22" customFormat="true" ht="13.5" hidden="false" customHeight="false" outlineLevel="0" collapsed="false">
      <c r="A34" s="22" t="s">
        <v>58</v>
      </c>
      <c r="B34" s="76" t="s">
        <v>625</v>
      </c>
      <c r="C34" s="76" t="s">
        <v>626</v>
      </c>
      <c r="D34" s="76" t="s">
        <v>627</v>
      </c>
      <c r="E34" s="76" t="s">
        <v>628</v>
      </c>
      <c r="F34" s="76" t="s">
        <v>628</v>
      </c>
      <c r="G34" s="76" t="s">
        <v>629</v>
      </c>
      <c r="H34" s="76" t="s">
        <v>630</v>
      </c>
      <c r="I34" s="76" t="s">
        <v>631</v>
      </c>
      <c r="J34" s="77" t="n">
        <v>113</v>
      </c>
      <c r="K34" s="77" t="s">
        <v>632</v>
      </c>
      <c r="L34" s="78" t="s">
        <v>698</v>
      </c>
      <c r="M34" s="76"/>
      <c r="N34" s="76" t="s">
        <v>654</v>
      </c>
      <c r="O34" s="76" t="s">
        <v>699</v>
      </c>
    </row>
    <row r="35" s="22" customFormat="true" ht="13.5" hidden="false" customHeight="false" outlineLevel="0" collapsed="false">
      <c r="B35" s="76" t="s">
        <v>633</v>
      </c>
      <c r="C35" s="76" t="s">
        <v>634</v>
      </c>
      <c r="D35" s="76" t="s">
        <v>635</v>
      </c>
      <c r="E35" s="76" t="s">
        <v>636</v>
      </c>
      <c r="F35" s="76" t="s">
        <v>637</v>
      </c>
      <c r="G35" s="76" t="s">
        <v>638</v>
      </c>
      <c r="H35" s="76" t="s">
        <v>639</v>
      </c>
      <c r="I35" s="76"/>
      <c r="J35" s="77" t="n">
        <v>31</v>
      </c>
      <c r="K35" s="77" t="s">
        <v>640</v>
      </c>
      <c r="L35" s="78"/>
      <c r="M35" s="76"/>
      <c r="N35" s="76" t="s">
        <v>654</v>
      </c>
      <c r="O35" s="76"/>
    </row>
  </sheetData>
  <autoFilter ref="A1:O1">
    <sortState ref="A2:O1">
      <sortCondition ref="A2:A1" customList=""/>
    </sortState>
  </autoFilter>
  <hyperlinks>
    <hyperlink ref="H2" r:id="rId2" display="ziegler@ziegler.lv"/>
    <hyperlink ref="I2" r:id="rId3" display="http://www.ziegler-gmbh.com/automobiltechnik"/>
    <hyperlink ref="I3" r:id="rId4" display="www.belmast.lv/"/>
    <hyperlink ref="H4" r:id="rId5" display="apeks.serviss@gmail.com"/>
    <hyperlink ref="I4" r:id="rId6" display="https://apeks.lv/"/>
    <hyperlink ref="I6" r:id="rId7" display="www.latliga.lv/"/>
    <hyperlink ref="H7" r:id="rId8" display="dsibuve@inbox.lv"/>
    <hyperlink ref="H8" r:id="rId9" display="dautrans@apollo.lv"/>
    <hyperlink ref="I8" r:id="rId10" display="https://dautrans.lv/"/>
    <hyperlink ref="H9" r:id="rId11" display="bus.noma@gmail.com"/>
    <hyperlink ref="I9" r:id="rId12" display="http://www.busnoma.lv/?i=1"/>
    <hyperlink ref="H10" r:id="rId13" display="info@megabus.lv"/>
    <hyperlink ref="I10" r:id="rId14" display="https://www.megabus.lv/"/>
    <hyperlink ref="H11" r:id="rId15" display="mednis1@inbox.lv"/>
    <hyperlink ref="G12" r:id="rId16" display="654 29245"/>
    <hyperlink ref="H12" r:id="rId17" display="dap@dap.apollo.lv"/>
    <hyperlink ref="I12" r:id="rId18" display="https://buspark.lv/"/>
    <hyperlink ref="I13" r:id="rId19" display="https://satiksme.daugavpils.lv/"/>
    <hyperlink ref="H15" r:id="rId20" display="daugavpilsgaita@gmail.com"/>
    <hyperlink ref="H17" r:id="rId21" display="info.alexdiesel@gmail.com"/>
    <hyperlink ref="I17" r:id="rId22" display="http://www.alexdiesel.lv"/>
    <hyperlink ref="H18" r:id="rId23" display="gaboteh@inbox.lv"/>
    <hyperlink ref="H19" r:id="rId24" display="dpr@dpr.lv"/>
    <hyperlink ref="I19" r:id="rId25" display="http://www.dpr.lv; https://shop.ditton.ru/"/>
    <hyperlink ref="H21" r:id="rId26" display="info@dlrr.lv"/>
    <hyperlink ref="I21" r:id="rId27" display="https://www.dlrr.eu/"/>
    <hyperlink ref="L21" r:id="rId28" display="https://bnn-news.com/osinovskis-million-case-elksnins-requested-money-for-knab-196120"/>
    <hyperlink ref="H23" r:id="rId29" display="buvmehanizacijad@inbox.lv"/>
    <hyperlink ref="I23" r:id="rId30" display="www.buvmehanizacija.lv"/>
    <hyperlink ref="H24" r:id="rId31" display="mehanizacija@apollo.lv"/>
    <hyperlink ref="I24" r:id="rId32" display="https://www.daugavpilsbuvmehanizacija.lv/"/>
    <hyperlink ref="H27" r:id="rId33" display="pserskis@gmail.com"/>
    <hyperlink ref="H29" r:id="rId34" display="info@ecobaltiavide.lv"/>
    <hyperlink ref="I29" r:id="rId35" display="https://www.ecobaltiavide.lv"/>
    <hyperlink ref="H31" r:id="rId36" display="daugavpils@storent.com"/>
    <hyperlink ref="I31" r:id="rId37" display="https://www.storent.lv/"/>
    <hyperlink ref="H32" r:id="rId38" display="ofice@latgalesceldaris.lv"/>
    <hyperlink ref="I32" r:id="rId39" display="https://www.latgalesceldaris.lv"/>
    <hyperlink ref="H33" r:id="rId40" display="danmet@inbox.lv"/>
    <hyperlink ref="H34" r:id="rId41" display="specatu@specatu.lv"/>
    <hyperlink ref="I34" r:id="rId42" display="http://www.specatu.lv/"/>
    <hyperlink ref="H35" r:id="rId43" display="ofiss@builder.lv"/>
  </hyperlinks>
  <printOptions headings="false" gridLines="false" gridLinesSet="true" horizontalCentered="false" verticalCentered="false"/>
  <pageMargins left="0" right="0" top="0.394444444444445" bottom="0.394444444444445" header="0" footer="0"/>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drawing r:id="rId44"/>
  <legacyDrawing r:id="rId4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Q1448"/>
  <sheetViews>
    <sheetView showFormulas="false" showGridLines="true" showRowColHeaders="true" showZeros="true" rightToLeft="false" tabSelected="false" showOutlineSymbols="true" defaultGridColor="true" view="normal" topLeftCell="H1" colorId="64" zoomScale="100" zoomScaleNormal="100" zoomScalePageLayoutView="100" workbookViewId="0">
      <pane xSplit="0" ySplit="3" topLeftCell="A4" activePane="bottomLeft" state="frozen"/>
      <selection pane="topLeft" activeCell="H1" activeCellId="0" sqref="H1"/>
      <selection pane="bottomLeft" activeCell="L13" activeCellId="0" sqref="L13"/>
    </sheetView>
  </sheetViews>
  <sheetFormatPr defaultColWidth="8.7890625" defaultRowHeight="12.75" zeroHeight="false" outlineLevelRow="0" outlineLevelCol="0"/>
  <cols>
    <col collapsed="false" customWidth="true" hidden="false" outlineLevel="0" max="1" min="1" style="90" width="13.6"/>
    <col collapsed="false" customWidth="true" hidden="false" outlineLevel="0" max="2" min="2" style="91" width="10"/>
    <col collapsed="false" customWidth="true" hidden="false" outlineLevel="0" max="5" min="3" style="91" width="21.9"/>
    <col collapsed="false" customWidth="true" hidden="false" outlineLevel="0" max="8" min="6" style="91" width="7.9"/>
    <col collapsed="false" customWidth="true" hidden="false" outlineLevel="0" max="9" min="9" style="91" width="13.2"/>
    <col collapsed="false" customWidth="true" hidden="false" outlineLevel="0" max="10" min="10" style="91" width="15"/>
    <col collapsed="false" customWidth="true" hidden="false" outlineLevel="0" max="12" min="11" style="92" width="39.6"/>
    <col collapsed="false" customWidth="true" hidden="false" outlineLevel="0" max="13" min="13" style="91" width="16.9"/>
    <col collapsed="false" customWidth="true" hidden="false" outlineLevel="0" max="14" min="14" style="91" width="80.8"/>
    <col collapsed="false" customWidth="true" hidden="false" outlineLevel="0" max="15" min="15" style="91" width="63.1"/>
    <col collapsed="false" customWidth="true" hidden="false" outlineLevel="0" max="16" min="16" style="91" width="47.2"/>
    <col collapsed="false" customWidth="true" hidden="false" outlineLevel="0" max="17" min="17" style="91" width="12.1"/>
    <col collapsed="false" customWidth="false" hidden="false" outlineLevel="0" max="1024" min="18" style="91" width="8.8"/>
  </cols>
  <sheetData>
    <row r="1" customFormat="false" ht="12.75" hidden="false" customHeight="false" outlineLevel="0" collapsed="false">
      <c r="A1" s="93" t="s">
        <v>700</v>
      </c>
    </row>
    <row r="3" customFormat="false" ht="114.75" hidden="false" customHeight="false" outlineLevel="0" collapsed="false">
      <c r="A3" s="94" t="s">
        <v>701</v>
      </c>
      <c r="B3" s="94" t="s">
        <v>702</v>
      </c>
      <c r="C3" s="94" t="s">
        <v>703</v>
      </c>
      <c r="D3" s="94" t="s">
        <v>704</v>
      </c>
      <c r="E3" s="94" t="s">
        <v>705</v>
      </c>
      <c r="F3" s="94" t="s">
        <v>706</v>
      </c>
      <c r="G3" s="94" t="s">
        <v>707</v>
      </c>
      <c r="H3" s="94" t="s">
        <v>708</v>
      </c>
      <c r="I3" s="94" t="s">
        <v>709</v>
      </c>
      <c r="J3" s="94" t="s">
        <v>710</v>
      </c>
      <c r="K3" s="94" t="s">
        <v>711</v>
      </c>
      <c r="L3" s="94" t="s">
        <v>712</v>
      </c>
      <c r="M3" s="94" t="s">
        <v>713</v>
      </c>
      <c r="N3" s="94" t="s">
        <v>714</v>
      </c>
      <c r="O3" s="94" t="s">
        <v>715</v>
      </c>
      <c r="P3" s="94" t="s">
        <v>716</v>
      </c>
      <c r="Q3" s="94" t="s">
        <v>717</v>
      </c>
    </row>
    <row r="4" s="97" customFormat="true" ht="12.75" hidden="false" customHeight="false" outlineLevel="0" collapsed="false">
      <c r="A4" s="91" t="s">
        <v>718</v>
      </c>
      <c r="B4" s="91" t="s">
        <v>719</v>
      </c>
      <c r="C4" s="91" t="s">
        <v>720</v>
      </c>
      <c r="D4" s="91" t="s">
        <v>721</v>
      </c>
      <c r="E4" s="91" t="s">
        <v>351</v>
      </c>
      <c r="F4" s="91" t="n">
        <v>2011</v>
      </c>
      <c r="G4" s="91" t="n">
        <v>23400</v>
      </c>
      <c r="H4" s="91" t="n">
        <v>8778</v>
      </c>
      <c r="I4" s="91" t="s">
        <v>722</v>
      </c>
      <c r="J4" s="95" t="n">
        <v>45048</v>
      </c>
      <c r="K4" s="91" t="s">
        <v>193</v>
      </c>
      <c r="L4" s="91"/>
      <c r="M4" s="91" t="s">
        <v>723</v>
      </c>
      <c r="N4" s="91" t="s">
        <v>195</v>
      </c>
      <c r="O4" s="96" t="str">
        <f aca="false">CO_ORDINATES(N4)</f>
        <v>55.8706805,26.5400209</v>
      </c>
      <c r="P4" s="91"/>
      <c r="Q4" s="91" t="n">
        <v>1</v>
      </c>
    </row>
    <row r="5" s="97" customFormat="true" ht="12.75" hidden="false" customHeight="false" outlineLevel="0" collapsed="false">
      <c r="A5" s="91" t="s">
        <v>718</v>
      </c>
      <c r="B5" s="91" t="s">
        <v>724</v>
      </c>
      <c r="C5" s="91" t="s">
        <v>720</v>
      </c>
      <c r="D5" s="91" t="s">
        <v>725</v>
      </c>
      <c r="E5" s="91" t="s">
        <v>281</v>
      </c>
      <c r="F5" s="91" t="n">
        <v>2015</v>
      </c>
      <c r="G5" s="91" t="n">
        <v>19500</v>
      </c>
      <c r="H5" s="91" t="n">
        <v>8682</v>
      </c>
      <c r="I5" s="91" t="s">
        <v>722</v>
      </c>
      <c r="J5" s="95" t="n">
        <v>44924</v>
      </c>
      <c r="K5" s="91" t="s">
        <v>193</v>
      </c>
      <c r="L5" s="91" t="s">
        <v>194</v>
      </c>
      <c r="M5" s="91" t="s">
        <v>723</v>
      </c>
      <c r="N5" s="91" t="s">
        <v>195</v>
      </c>
      <c r="O5" s="96" t="str">
        <f aca="false">CO_ORDINATES(N5)</f>
        <v>55.8706805,26.5400209</v>
      </c>
      <c r="P5" s="91"/>
      <c r="Q5" s="91" t="n">
        <v>1</v>
      </c>
    </row>
    <row r="6" s="97" customFormat="true" ht="12.75" hidden="false" customHeight="false" outlineLevel="0" collapsed="false">
      <c r="A6" s="91" t="s">
        <v>718</v>
      </c>
      <c r="B6" s="91" t="s">
        <v>726</v>
      </c>
      <c r="C6" s="91" t="s">
        <v>727</v>
      </c>
      <c r="D6" s="91" t="s">
        <v>728</v>
      </c>
      <c r="E6" s="91" t="s">
        <v>197</v>
      </c>
      <c r="F6" s="91" t="n">
        <v>2011</v>
      </c>
      <c r="G6" s="91" t="n">
        <v>18000</v>
      </c>
      <c r="H6" s="91" t="n">
        <v>7365</v>
      </c>
      <c r="I6" s="91" t="s">
        <v>722</v>
      </c>
      <c r="J6" s="95" t="n">
        <v>44831</v>
      </c>
      <c r="K6" s="91" t="s">
        <v>196</v>
      </c>
      <c r="L6" s="91" t="s">
        <v>197</v>
      </c>
      <c r="M6" s="91" t="s">
        <v>729</v>
      </c>
      <c r="N6" s="91" t="s">
        <v>198</v>
      </c>
      <c r="O6" s="98" t="e">
        <f aca="false">CO_ORDINATES(N6)</f>
        <v>#VALUE!</v>
      </c>
      <c r="P6" s="91"/>
      <c r="Q6" s="91" t="n">
        <v>1</v>
      </c>
    </row>
    <row r="7" s="97" customFormat="true" ht="12.75" hidden="false" customHeight="false" outlineLevel="0" collapsed="false">
      <c r="A7" s="91" t="s">
        <v>718</v>
      </c>
      <c r="B7" s="91" t="s">
        <v>730</v>
      </c>
      <c r="C7" s="91" t="s">
        <v>731</v>
      </c>
      <c r="D7" s="91" t="s">
        <v>732</v>
      </c>
      <c r="E7" s="91" t="s">
        <v>200</v>
      </c>
      <c r="F7" s="91" t="n">
        <v>2007</v>
      </c>
      <c r="G7" s="91" t="n">
        <v>18000</v>
      </c>
      <c r="H7" s="91" t="n">
        <v>8500</v>
      </c>
      <c r="I7" s="91" t="s">
        <v>722</v>
      </c>
      <c r="J7" s="95" t="n">
        <v>44708</v>
      </c>
      <c r="K7" s="91" t="s">
        <v>199</v>
      </c>
      <c r="L7" s="91" t="s">
        <v>200</v>
      </c>
      <c r="M7" s="91" t="s">
        <v>733</v>
      </c>
      <c r="N7" s="91" t="s">
        <v>201</v>
      </c>
      <c r="O7" s="96" t="str">
        <f aca="false">CO_ORDINATES(N7)</f>
        <v>55.8713321,26.5426743</v>
      </c>
      <c r="P7" s="91"/>
      <c r="Q7" s="91" t="n">
        <v>1</v>
      </c>
    </row>
    <row r="8" s="97" customFormat="true" ht="12.75" hidden="false" customHeight="false" outlineLevel="0" collapsed="false">
      <c r="A8" s="91" t="s">
        <v>718</v>
      </c>
      <c r="B8" s="91" t="s">
        <v>734</v>
      </c>
      <c r="C8" s="91" t="s">
        <v>720</v>
      </c>
      <c r="D8" s="91" t="s">
        <v>735</v>
      </c>
      <c r="E8" s="91" t="s">
        <v>203</v>
      </c>
      <c r="F8" s="91" t="n">
        <v>2014</v>
      </c>
      <c r="G8" s="91" t="n">
        <v>19000</v>
      </c>
      <c r="H8" s="91" t="n">
        <v>7547</v>
      </c>
      <c r="I8" s="91" t="s">
        <v>722</v>
      </c>
      <c r="J8" s="95" t="n">
        <v>44770</v>
      </c>
      <c r="K8" s="91" t="s">
        <v>202</v>
      </c>
      <c r="L8" s="91" t="s">
        <v>203</v>
      </c>
      <c r="M8" s="91" t="s">
        <v>736</v>
      </c>
      <c r="N8" s="91" t="s">
        <v>204</v>
      </c>
      <c r="O8" s="98" t="e">
        <f aca="false">CO_ORDINATES(N8)</f>
        <v>#VALUE!</v>
      </c>
      <c r="P8" s="91"/>
      <c r="Q8" s="91" t="n">
        <v>1</v>
      </c>
    </row>
    <row r="9" s="97" customFormat="true" ht="12.75" hidden="false" customHeight="false" outlineLevel="0" collapsed="false">
      <c r="A9" s="91" t="s">
        <v>718</v>
      </c>
      <c r="B9" s="91" t="s">
        <v>737</v>
      </c>
      <c r="C9" s="91" t="s">
        <v>720</v>
      </c>
      <c r="D9" s="91" t="s">
        <v>738</v>
      </c>
      <c r="E9" s="91" t="s">
        <v>206</v>
      </c>
      <c r="F9" s="91" t="n">
        <v>2007</v>
      </c>
      <c r="G9" s="91" t="n">
        <v>20500</v>
      </c>
      <c r="H9" s="91" t="n">
        <v>8490</v>
      </c>
      <c r="I9" s="91" t="s">
        <v>722</v>
      </c>
      <c r="J9" s="95" t="n">
        <v>44788</v>
      </c>
      <c r="K9" s="91" t="s">
        <v>205</v>
      </c>
      <c r="L9" s="91" t="s">
        <v>206</v>
      </c>
      <c r="M9" s="91" t="s">
        <v>739</v>
      </c>
      <c r="N9" s="91" t="s">
        <v>207</v>
      </c>
      <c r="O9" s="96" t="str">
        <f aca="false">CO_ORDINATES(N9)</f>
        <v>55.8816163,26.5500564</v>
      </c>
      <c r="P9" s="91"/>
      <c r="Q9" s="91" t="n">
        <v>1</v>
      </c>
    </row>
    <row r="10" s="97" customFormat="true" ht="12.75" hidden="false" customHeight="false" outlineLevel="0" collapsed="false">
      <c r="A10" s="91" t="s">
        <v>718</v>
      </c>
      <c r="B10" s="91" t="s">
        <v>740</v>
      </c>
      <c r="C10" s="91" t="s">
        <v>731</v>
      </c>
      <c r="D10" s="91" t="s">
        <v>732</v>
      </c>
      <c r="E10" s="91" t="s">
        <v>200</v>
      </c>
      <c r="F10" s="91" t="n">
        <v>2006</v>
      </c>
      <c r="G10" s="91" t="n">
        <v>18000</v>
      </c>
      <c r="H10" s="91" t="n">
        <v>8100</v>
      </c>
      <c r="I10" s="91" t="s">
        <v>722</v>
      </c>
      <c r="J10" s="95" t="n">
        <v>44959</v>
      </c>
      <c r="K10" s="91" t="s">
        <v>208</v>
      </c>
      <c r="L10" s="91" t="s">
        <v>200</v>
      </c>
      <c r="M10" s="91" t="s">
        <v>741</v>
      </c>
      <c r="N10" s="91" t="s">
        <v>209</v>
      </c>
      <c r="O10" s="96" t="str">
        <f aca="false">CO_ORDINATES(N10)</f>
        <v>55.8908965,26.6861753</v>
      </c>
      <c r="P10" s="91"/>
      <c r="Q10" s="91" t="n">
        <v>1</v>
      </c>
    </row>
    <row r="11" s="97" customFormat="true" ht="12.75" hidden="false" customHeight="false" outlineLevel="0" collapsed="false">
      <c r="A11" s="91" t="s">
        <v>718</v>
      </c>
      <c r="B11" s="91" t="s">
        <v>742</v>
      </c>
      <c r="C11" s="91" t="s">
        <v>727</v>
      </c>
      <c r="D11" s="91" t="s">
        <v>743</v>
      </c>
      <c r="E11" s="91" t="s">
        <v>744</v>
      </c>
      <c r="F11" s="91" t="n">
        <v>2000</v>
      </c>
      <c r="G11" s="91" t="n">
        <v>19000</v>
      </c>
      <c r="H11" s="91" t="n">
        <v>6340</v>
      </c>
      <c r="I11" s="91" t="s">
        <v>745</v>
      </c>
      <c r="J11" s="95" t="n">
        <v>44875</v>
      </c>
      <c r="K11" s="91" t="s">
        <v>210</v>
      </c>
      <c r="L11" s="91"/>
      <c r="M11" s="91" t="s">
        <v>746</v>
      </c>
      <c r="N11" s="91" t="s">
        <v>212</v>
      </c>
      <c r="O11" s="96" t="str">
        <f aca="false">CO_ORDINATES(N11)</f>
        <v>55.896470949999994,26.533079891406572</v>
      </c>
      <c r="P11" s="91"/>
      <c r="Q11" s="91" t="n">
        <v>1</v>
      </c>
    </row>
    <row r="12" s="97" customFormat="true" ht="12.75" hidden="false" customHeight="false" outlineLevel="0" collapsed="false">
      <c r="A12" s="91" t="s">
        <v>718</v>
      </c>
      <c r="B12" s="91" t="s">
        <v>747</v>
      </c>
      <c r="C12" s="91" t="s">
        <v>748</v>
      </c>
      <c r="D12" s="91" t="s">
        <v>749</v>
      </c>
      <c r="E12" s="91" t="s">
        <v>354</v>
      </c>
      <c r="F12" s="91" t="n">
        <v>2013</v>
      </c>
      <c r="G12" s="91" t="n">
        <v>18000</v>
      </c>
      <c r="H12" s="91" t="n">
        <v>8461</v>
      </c>
      <c r="I12" s="91" t="s">
        <v>722</v>
      </c>
      <c r="J12" s="95" t="n">
        <v>44995</v>
      </c>
      <c r="K12" s="91" t="s">
        <v>210</v>
      </c>
      <c r="L12" s="91"/>
      <c r="M12" s="91" t="s">
        <v>746</v>
      </c>
      <c r="N12" s="91" t="s">
        <v>212</v>
      </c>
      <c r="O12" s="96" t="str">
        <f aca="false">CO_ORDINATES(N12)</f>
        <v>55.896470949999994,26.533079891406572</v>
      </c>
      <c r="P12" s="91"/>
      <c r="Q12" s="91" t="n">
        <v>1</v>
      </c>
    </row>
    <row r="13" s="97" customFormat="true" ht="12.75" hidden="false" customHeight="false" outlineLevel="0" collapsed="false">
      <c r="A13" s="91" t="s">
        <v>718</v>
      </c>
      <c r="B13" s="91" t="s">
        <v>750</v>
      </c>
      <c r="C13" s="91" t="s">
        <v>727</v>
      </c>
      <c r="D13" s="91" t="s">
        <v>728</v>
      </c>
      <c r="E13" s="91" t="s">
        <v>197</v>
      </c>
      <c r="F13" s="91" t="n">
        <v>2011</v>
      </c>
      <c r="G13" s="91" t="n">
        <v>18000</v>
      </c>
      <c r="H13" s="91" t="n">
        <v>8375</v>
      </c>
      <c r="I13" s="91" t="s">
        <v>722</v>
      </c>
      <c r="J13" s="95" t="n">
        <v>44768</v>
      </c>
      <c r="K13" s="91" t="s">
        <v>210</v>
      </c>
      <c r="L13" s="91" t="s">
        <v>211</v>
      </c>
      <c r="M13" s="91" t="s">
        <v>746</v>
      </c>
      <c r="N13" s="91" t="s">
        <v>212</v>
      </c>
      <c r="O13" s="96" t="str">
        <f aca="false">CO_ORDINATES(N13)</f>
        <v>55.896470949999994,26.533079891406572</v>
      </c>
      <c r="P13" s="91"/>
      <c r="Q13" s="91" t="n">
        <v>1</v>
      </c>
    </row>
    <row r="14" s="97" customFormat="true" ht="12.75" hidden="false" customHeight="false" outlineLevel="0" collapsed="false">
      <c r="A14" s="91" t="s">
        <v>718</v>
      </c>
      <c r="B14" s="91" t="s">
        <v>751</v>
      </c>
      <c r="C14" s="91" t="s">
        <v>720</v>
      </c>
      <c r="D14" s="91" t="s">
        <v>721</v>
      </c>
      <c r="E14" s="91" t="s">
        <v>351</v>
      </c>
      <c r="F14" s="91" t="n">
        <v>2012</v>
      </c>
      <c r="G14" s="91" t="n">
        <v>19000</v>
      </c>
      <c r="H14" s="91" t="n">
        <v>8880</v>
      </c>
      <c r="I14" s="91" t="s">
        <v>722</v>
      </c>
      <c r="J14" s="95" t="n">
        <v>44755</v>
      </c>
      <c r="K14" s="91" t="s">
        <v>213</v>
      </c>
      <c r="L14" s="91"/>
      <c r="M14" s="91" t="s">
        <v>752</v>
      </c>
      <c r="N14" s="91" t="s">
        <v>215</v>
      </c>
      <c r="O14" s="96" t="str">
        <f aca="false">CO_ORDINATES(N14)</f>
        <v>55.8196292,26.4723689</v>
      </c>
      <c r="P14" s="91"/>
      <c r="Q14" s="91" t="n">
        <v>1</v>
      </c>
    </row>
    <row r="15" s="97" customFormat="true" ht="12.75" hidden="false" customHeight="false" outlineLevel="0" collapsed="false">
      <c r="A15" s="91" t="s">
        <v>718</v>
      </c>
      <c r="B15" s="91" t="s">
        <v>753</v>
      </c>
      <c r="C15" s="91" t="s">
        <v>720</v>
      </c>
      <c r="D15" s="91" t="s">
        <v>721</v>
      </c>
      <c r="E15" s="91" t="s">
        <v>351</v>
      </c>
      <c r="F15" s="91" t="n">
        <v>2011</v>
      </c>
      <c r="G15" s="91" t="n">
        <v>18000</v>
      </c>
      <c r="H15" s="91" t="n">
        <v>8330</v>
      </c>
      <c r="I15" s="91" t="s">
        <v>722</v>
      </c>
      <c r="J15" s="95" t="n">
        <v>44770</v>
      </c>
      <c r="K15" s="91" t="s">
        <v>213</v>
      </c>
      <c r="L15" s="91" t="s">
        <v>214</v>
      </c>
      <c r="M15" s="91" t="s">
        <v>752</v>
      </c>
      <c r="N15" s="91" t="s">
        <v>215</v>
      </c>
      <c r="O15" s="96" t="str">
        <f aca="false">CO_ORDINATES(N15)</f>
        <v>55.8196292,26.4723689</v>
      </c>
      <c r="P15" s="91"/>
      <c r="Q15" s="91" t="n">
        <v>1</v>
      </c>
    </row>
    <row r="16" s="97" customFormat="true" ht="12.75" hidden="false" customHeight="false" outlineLevel="0" collapsed="false">
      <c r="A16" s="91" t="s">
        <v>718</v>
      </c>
      <c r="B16" s="91" t="s">
        <v>754</v>
      </c>
      <c r="C16" s="91" t="s">
        <v>720</v>
      </c>
      <c r="D16" s="91" t="s">
        <v>755</v>
      </c>
      <c r="E16" s="91" t="s">
        <v>217</v>
      </c>
      <c r="F16" s="91" t="n">
        <v>2011</v>
      </c>
      <c r="G16" s="91" t="n">
        <v>18000</v>
      </c>
      <c r="H16" s="91" t="n">
        <v>8320</v>
      </c>
      <c r="I16" s="91" t="s">
        <v>722</v>
      </c>
      <c r="J16" s="95" t="n">
        <v>44771</v>
      </c>
      <c r="K16" s="91" t="s">
        <v>216</v>
      </c>
      <c r="L16" s="91" t="s">
        <v>217</v>
      </c>
      <c r="M16" s="91" t="s">
        <v>756</v>
      </c>
      <c r="N16" s="91" t="s">
        <v>218</v>
      </c>
      <c r="O16" s="96" t="str">
        <f aca="false">CO_ORDINATES(N16)</f>
        <v>55.8747674,26.549251</v>
      </c>
      <c r="P16" s="91"/>
      <c r="Q16" s="91" t="n">
        <v>1</v>
      </c>
    </row>
    <row r="17" s="97" customFormat="true" ht="12.75" hidden="false" customHeight="false" outlineLevel="0" collapsed="false">
      <c r="A17" s="91" t="s">
        <v>718</v>
      </c>
      <c r="B17" s="91" t="s">
        <v>757</v>
      </c>
      <c r="C17" s="91" t="s">
        <v>731</v>
      </c>
      <c r="D17" s="91" t="s">
        <v>732</v>
      </c>
      <c r="E17" s="91" t="s">
        <v>200</v>
      </c>
      <c r="F17" s="91" t="n">
        <v>2009</v>
      </c>
      <c r="G17" s="91" t="n">
        <v>19000</v>
      </c>
      <c r="H17" s="91" t="n">
        <v>7654</v>
      </c>
      <c r="I17" s="91" t="s">
        <v>722</v>
      </c>
      <c r="J17" s="95" t="n">
        <v>44764</v>
      </c>
      <c r="K17" s="91" t="s">
        <v>219</v>
      </c>
      <c r="L17" s="91" t="s">
        <v>200</v>
      </c>
      <c r="M17" s="91" t="s">
        <v>758</v>
      </c>
      <c r="N17" s="91" t="s">
        <v>220</v>
      </c>
      <c r="O17" s="98" t="e">
        <f aca="false">CO_ORDINATES(N17)</f>
        <v>#VALUE!</v>
      </c>
      <c r="P17" s="91"/>
      <c r="Q17" s="91" t="n">
        <v>1</v>
      </c>
    </row>
    <row r="18" s="97" customFormat="true" ht="12.75" hidden="false" customHeight="false" outlineLevel="0" collapsed="false">
      <c r="A18" s="91" t="s">
        <v>718</v>
      </c>
      <c r="B18" s="91" t="s">
        <v>759</v>
      </c>
      <c r="C18" s="91" t="s">
        <v>720</v>
      </c>
      <c r="D18" s="91" t="s">
        <v>760</v>
      </c>
      <c r="E18" s="91" t="s">
        <v>222</v>
      </c>
      <c r="F18" s="91" t="n">
        <v>2006</v>
      </c>
      <c r="G18" s="91" t="n">
        <v>20500</v>
      </c>
      <c r="H18" s="91" t="n">
        <v>7800</v>
      </c>
      <c r="I18" s="91" t="s">
        <v>722</v>
      </c>
      <c r="J18" s="95" t="n">
        <v>45000</v>
      </c>
      <c r="K18" s="91" t="s">
        <v>221</v>
      </c>
      <c r="L18" s="91" t="s">
        <v>222</v>
      </c>
      <c r="M18" s="91" t="s">
        <v>761</v>
      </c>
      <c r="N18" s="91" t="s">
        <v>224</v>
      </c>
      <c r="O18" s="98" t="e">
        <f aca="false">CO_ORDINATES(N18)</f>
        <v>#VALUE!</v>
      </c>
      <c r="P18" s="91"/>
      <c r="Q18" s="91" t="n">
        <v>1</v>
      </c>
    </row>
    <row r="19" s="97" customFormat="true" ht="12.75" hidden="false" customHeight="false" outlineLevel="0" collapsed="false">
      <c r="A19" s="97" t="s">
        <v>718</v>
      </c>
      <c r="B19" s="97" t="s">
        <v>762</v>
      </c>
      <c r="C19" s="97" t="s">
        <v>731</v>
      </c>
      <c r="D19" s="97" t="s">
        <v>763</v>
      </c>
      <c r="E19" s="97" t="s">
        <v>238</v>
      </c>
      <c r="F19" s="97" t="n">
        <v>2003</v>
      </c>
      <c r="G19" s="97" t="n">
        <v>26000</v>
      </c>
      <c r="H19" s="97" t="n">
        <v>9124</v>
      </c>
      <c r="I19" s="97" t="s">
        <v>722</v>
      </c>
      <c r="J19" s="99" t="n">
        <v>44713</v>
      </c>
      <c r="K19" s="97" t="s">
        <v>225</v>
      </c>
      <c r="M19" s="97" t="s">
        <v>764</v>
      </c>
      <c r="N19" s="97" t="s">
        <v>227</v>
      </c>
      <c r="O19" s="96" t="str">
        <f aca="false">CO_ORDINATES(N19)</f>
        <v>55.8756042,26.5479577</v>
      </c>
      <c r="Q19" s="97" t="n">
        <v>1</v>
      </c>
    </row>
    <row r="20" s="97" customFormat="true" ht="12.75" hidden="false" customHeight="false" outlineLevel="0" collapsed="false">
      <c r="A20" s="91" t="s">
        <v>718</v>
      </c>
      <c r="B20" s="91" t="s">
        <v>765</v>
      </c>
      <c r="C20" s="91" t="s">
        <v>727</v>
      </c>
      <c r="D20" s="91" t="s">
        <v>766</v>
      </c>
      <c r="E20" s="91" t="s">
        <v>767</v>
      </c>
      <c r="F20" s="91" t="n">
        <v>2002</v>
      </c>
      <c r="G20" s="91" t="n">
        <v>18600</v>
      </c>
      <c r="H20" s="91" t="n">
        <v>7560</v>
      </c>
      <c r="I20" s="91" t="s">
        <v>722</v>
      </c>
      <c r="J20" s="95" t="n">
        <v>45030</v>
      </c>
      <c r="K20" s="91" t="s">
        <v>225</v>
      </c>
      <c r="L20" s="91"/>
      <c r="M20" s="91" t="s">
        <v>764</v>
      </c>
      <c r="N20" s="91" t="s">
        <v>768</v>
      </c>
      <c r="O20" s="96" t="str">
        <f aca="false">CO_ORDINATES(N20)</f>
        <v>55.8756042,26.5479577</v>
      </c>
      <c r="P20" s="91"/>
      <c r="Q20" s="91" t="n">
        <v>1</v>
      </c>
    </row>
    <row r="21" s="97" customFormat="true" ht="12.75" hidden="false" customHeight="false" outlineLevel="0" collapsed="false">
      <c r="A21" s="91" t="s">
        <v>718</v>
      </c>
      <c r="B21" s="91" t="s">
        <v>769</v>
      </c>
      <c r="C21" s="91" t="s">
        <v>727</v>
      </c>
      <c r="D21" s="91" t="s">
        <v>766</v>
      </c>
      <c r="E21" s="91" t="s">
        <v>767</v>
      </c>
      <c r="F21" s="91" t="n">
        <v>2003</v>
      </c>
      <c r="G21" s="91" t="n">
        <v>18000</v>
      </c>
      <c r="H21" s="91" t="n">
        <v>7675</v>
      </c>
      <c r="I21" s="91" t="s">
        <v>722</v>
      </c>
      <c r="J21" s="95" t="n">
        <v>45034</v>
      </c>
      <c r="K21" s="91" t="s">
        <v>225</v>
      </c>
      <c r="L21" s="91" t="s">
        <v>226</v>
      </c>
      <c r="M21" s="91" t="s">
        <v>764</v>
      </c>
      <c r="N21" s="91" t="s">
        <v>227</v>
      </c>
      <c r="O21" s="96" t="str">
        <f aca="false">CO_ORDINATES(N21)</f>
        <v>55.8756042,26.5479577</v>
      </c>
      <c r="P21" s="91"/>
      <c r="Q21" s="91" t="n">
        <v>1</v>
      </c>
    </row>
    <row r="22" s="97" customFormat="true" ht="12.75" hidden="false" customHeight="false" outlineLevel="0" collapsed="false">
      <c r="A22" s="97" t="s">
        <v>718</v>
      </c>
      <c r="B22" s="97" t="s">
        <v>770</v>
      </c>
      <c r="C22" s="97" t="s">
        <v>771</v>
      </c>
      <c r="D22" s="97" t="s">
        <v>772</v>
      </c>
      <c r="E22" s="97" t="s">
        <v>229</v>
      </c>
      <c r="F22" s="97" t="n">
        <v>1993</v>
      </c>
      <c r="G22" s="97" t="n">
        <v>25000</v>
      </c>
      <c r="H22" s="97" t="n">
        <v>8900</v>
      </c>
      <c r="I22" s="97" t="s">
        <v>722</v>
      </c>
      <c r="J22" s="99" t="n">
        <v>44757</v>
      </c>
      <c r="K22" s="97" t="s">
        <v>228</v>
      </c>
      <c r="L22" s="97" t="s">
        <v>229</v>
      </c>
      <c r="M22" s="97" t="s">
        <v>773</v>
      </c>
      <c r="N22" s="97" t="s">
        <v>230</v>
      </c>
      <c r="O22" s="96" t="str">
        <f aca="false">CO_ORDINATES(N22)</f>
        <v>55.87519315,26.54601620549517</v>
      </c>
      <c r="Q22" s="97" t="n">
        <v>1</v>
      </c>
    </row>
    <row r="23" s="91" customFormat="true" ht="12.75" hidden="false" customHeight="false" outlineLevel="0" collapsed="false">
      <c r="A23" s="91" t="s">
        <v>718</v>
      </c>
      <c r="B23" s="91" t="s">
        <v>774</v>
      </c>
      <c r="C23" s="91" t="s">
        <v>727</v>
      </c>
      <c r="D23" s="91" t="s">
        <v>775</v>
      </c>
      <c r="E23" s="91" t="s">
        <v>776</v>
      </c>
      <c r="F23" s="91" t="n">
        <v>2011</v>
      </c>
      <c r="G23" s="91" t="n">
        <v>19000</v>
      </c>
      <c r="H23" s="91" t="n">
        <v>8590</v>
      </c>
      <c r="I23" s="91" t="s">
        <v>722</v>
      </c>
      <c r="J23" s="95" t="n">
        <v>44812</v>
      </c>
      <c r="K23" s="91" t="s">
        <v>777</v>
      </c>
      <c r="M23" s="91" t="s">
        <v>778</v>
      </c>
      <c r="N23" s="91" t="s">
        <v>779</v>
      </c>
      <c r="O23" s="96" t="str">
        <f aca="false">CO_ORDINATES(N23)</f>
        <v>55.869646,26.5297595</v>
      </c>
      <c r="Q23" s="91" t="n">
        <v>1</v>
      </c>
    </row>
    <row r="24" s="91" customFormat="true" ht="12.75" hidden="false" customHeight="false" outlineLevel="0" collapsed="false">
      <c r="A24" s="91" t="s">
        <v>718</v>
      </c>
      <c r="B24" s="91" t="s">
        <v>780</v>
      </c>
      <c r="C24" s="91" t="s">
        <v>727</v>
      </c>
      <c r="D24" s="91" t="s">
        <v>775</v>
      </c>
      <c r="E24" s="91" t="s">
        <v>776</v>
      </c>
      <c r="F24" s="91" t="n">
        <v>2012</v>
      </c>
      <c r="G24" s="91" t="n">
        <v>19000</v>
      </c>
      <c r="H24" s="91" t="n">
        <v>8670</v>
      </c>
      <c r="I24" s="91" t="s">
        <v>722</v>
      </c>
      <c r="J24" s="95" t="n">
        <v>45062</v>
      </c>
      <c r="K24" s="91" t="s">
        <v>777</v>
      </c>
      <c r="M24" s="91" t="s">
        <v>778</v>
      </c>
      <c r="N24" s="91" t="s">
        <v>779</v>
      </c>
      <c r="O24" s="96" t="str">
        <f aca="false">CO_ORDINATES(N24)</f>
        <v>55.869646,26.5297595</v>
      </c>
      <c r="Q24" s="91" t="n">
        <v>1</v>
      </c>
    </row>
    <row r="25" s="91" customFormat="true" ht="12.75" hidden="false" customHeight="false" outlineLevel="0" collapsed="false">
      <c r="A25" s="91" t="s">
        <v>718</v>
      </c>
      <c r="B25" s="91" t="s">
        <v>781</v>
      </c>
      <c r="C25" s="91" t="s">
        <v>727</v>
      </c>
      <c r="D25" s="91" t="s">
        <v>782</v>
      </c>
      <c r="E25" s="91" t="s">
        <v>783</v>
      </c>
      <c r="F25" s="91" t="n">
        <v>2014</v>
      </c>
      <c r="G25" s="91" t="n">
        <v>18600</v>
      </c>
      <c r="H25" s="91" t="n">
        <v>8239</v>
      </c>
      <c r="I25" s="91" t="s">
        <v>722</v>
      </c>
      <c r="J25" s="95" t="n">
        <v>44719</v>
      </c>
      <c r="K25" s="91" t="s">
        <v>777</v>
      </c>
      <c r="M25" s="91" t="s">
        <v>778</v>
      </c>
      <c r="N25" s="91" t="s">
        <v>779</v>
      </c>
      <c r="O25" s="96" t="str">
        <f aca="false">CO_ORDINATES(N25)</f>
        <v>55.869646,26.5297595</v>
      </c>
      <c r="Q25" s="91" t="n">
        <v>1</v>
      </c>
    </row>
    <row r="26" s="91" customFormat="true" ht="12.75" hidden="false" customHeight="false" outlineLevel="0" collapsed="false">
      <c r="A26" s="91" t="s">
        <v>718</v>
      </c>
      <c r="B26" s="91" t="s">
        <v>784</v>
      </c>
      <c r="C26" s="91" t="s">
        <v>727</v>
      </c>
      <c r="D26" s="91" t="s">
        <v>782</v>
      </c>
      <c r="E26" s="91" t="s">
        <v>783</v>
      </c>
      <c r="F26" s="91" t="n">
        <v>2014</v>
      </c>
      <c r="G26" s="91" t="n">
        <v>18600</v>
      </c>
      <c r="H26" s="91" t="n">
        <v>8239</v>
      </c>
      <c r="I26" s="91" t="s">
        <v>722</v>
      </c>
      <c r="J26" s="95" t="n">
        <v>44747</v>
      </c>
      <c r="K26" s="91" t="s">
        <v>777</v>
      </c>
      <c r="M26" s="91" t="s">
        <v>778</v>
      </c>
      <c r="N26" s="91" t="s">
        <v>779</v>
      </c>
      <c r="O26" s="96" t="str">
        <f aca="false">CO_ORDINATES(N26)</f>
        <v>55.869646,26.5297595</v>
      </c>
      <c r="Q26" s="91" t="n">
        <v>1</v>
      </c>
    </row>
    <row r="27" s="91" customFormat="true" ht="12.75" hidden="false" customHeight="false" outlineLevel="0" collapsed="false">
      <c r="A27" s="91" t="s">
        <v>718</v>
      </c>
      <c r="B27" s="91" t="s">
        <v>785</v>
      </c>
      <c r="C27" s="91" t="s">
        <v>727</v>
      </c>
      <c r="D27" s="91" t="s">
        <v>786</v>
      </c>
      <c r="E27" s="91" t="s">
        <v>264</v>
      </c>
      <c r="F27" s="91" t="n">
        <v>2005</v>
      </c>
      <c r="G27" s="91" t="n">
        <v>18600</v>
      </c>
      <c r="H27" s="91" t="n">
        <v>8180</v>
      </c>
      <c r="I27" s="91" t="s">
        <v>722</v>
      </c>
      <c r="J27" s="95" t="n">
        <v>44767</v>
      </c>
      <c r="K27" s="91" t="s">
        <v>777</v>
      </c>
      <c r="M27" s="91" t="s">
        <v>778</v>
      </c>
      <c r="N27" s="91" t="s">
        <v>779</v>
      </c>
      <c r="O27" s="96" t="str">
        <f aca="false">CO_ORDINATES(N27)</f>
        <v>55.869646,26.5297595</v>
      </c>
      <c r="Q27" s="91" t="n">
        <v>1</v>
      </c>
    </row>
    <row r="28" s="91" customFormat="true" ht="12.75" hidden="false" customHeight="false" outlineLevel="0" collapsed="false">
      <c r="A28" s="91" t="s">
        <v>718</v>
      </c>
      <c r="B28" s="91" t="s">
        <v>787</v>
      </c>
      <c r="C28" s="91" t="s">
        <v>727</v>
      </c>
      <c r="D28" s="91" t="s">
        <v>786</v>
      </c>
      <c r="E28" s="91" t="s">
        <v>264</v>
      </c>
      <c r="F28" s="91" t="n">
        <v>2008</v>
      </c>
      <c r="G28" s="91" t="n">
        <v>18600</v>
      </c>
      <c r="H28" s="91" t="n">
        <v>8300</v>
      </c>
      <c r="I28" s="91" t="s">
        <v>722</v>
      </c>
      <c r="J28" s="95" t="n">
        <v>44847</v>
      </c>
      <c r="K28" s="91" t="s">
        <v>777</v>
      </c>
      <c r="M28" s="91" t="s">
        <v>778</v>
      </c>
      <c r="N28" s="91" t="s">
        <v>779</v>
      </c>
      <c r="O28" s="96" t="str">
        <f aca="false">CO_ORDINATES(N28)</f>
        <v>55.869646,26.5297595</v>
      </c>
      <c r="Q28" s="91" t="n">
        <v>1</v>
      </c>
    </row>
    <row r="29" customFormat="false" ht="12.75" hidden="false" customHeight="false" outlineLevel="0" collapsed="false">
      <c r="A29" s="91" t="s">
        <v>718</v>
      </c>
      <c r="B29" s="91" t="s">
        <v>788</v>
      </c>
      <c r="C29" s="91" t="s">
        <v>727</v>
      </c>
      <c r="D29" s="91" t="s">
        <v>786</v>
      </c>
      <c r="E29" s="91" t="s">
        <v>264</v>
      </c>
      <c r="F29" s="91" t="n">
        <v>2007</v>
      </c>
      <c r="G29" s="91" t="n">
        <v>18600</v>
      </c>
      <c r="H29" s="91" t="n">
        <v>7650</v>
      </c>
      <c r="I29" s="91" t="s">
        <v>722</v>
      </c>
      <c r="J29" s="95" t="n">
        <v>45064</v>
      </c>
      <c r="K29" s="91" t="s">
        <v>777</v>
      </c>
      <c r="L29" s="91" t="s">
        <v>789</v>
      </c>
      <c r="M29" s="91" t="s">
        <v>778</v>
      </c>
      <c r="N29" s="91" t="s">
        <v>779</v>
      </c>
      <c r="O29" s="96" t="str">
        <f aca="false">CO_ORDINATES(N29)</f>
        <v>55.869646,26.5297595</v>
      </c>
      <c r="Q29" s="91" t="n">
        <v>1</v>
      </c>
    </row>
    <row r="30" s="91" customFormat="true" ht="12.75" hidden="false" customHeight="false" outlineLevel="0" collapsed="false">
      <c r="A30" s="91" t="s">
        <v>718</v>
      </c>
      <c r="B30" s="91" t="s">
        <v>790</v>
      </c>
      <c r="C30" s="91" t="s">
        <v>720</v>
      </c>
      <c r="D30" s="91" t="s">
        <v>721</v>
      </c>
      <c r="E30" s="91" t="s">
        <v>351</v>
      </c>
      <c r="F30" s="91" t="n">
        <v>2012</v>
      </c>
      <c r="G30" s="91" t="n">
        <v>18000</v>
      </c>
      <c r="H30" s="91" t="n">
        <v>8250</v>
      </c>
      <c r="I30" s="91" t="s">
        <v>722</v>
      </c>
      <c r="J30" s="95" t="n">
        <v>44909</v>
      </c>
      <c r="K30" s="91" t="s">
        <v>231</v>
      </c>
      <c r="M30" s="91" t="s">
        <v>791</v>
      </c>
      <c r="N30" s="91" t="s">
        <v>233</v>
      </c>
      <c r="O30" s="96" t="str">
        <f aca="false">CO_ORDINATES(N30)</f>
        <v>55.8712203,26.5171099</v>
      </c>
      <c r="Q30" s="91" t="n">
        <v>1</v>
      </c>
    </row>
    <row r="31" s="91" customFormat="true" ht="12.75" hidden="false" customHeight="false" outlineLevel="0" collapsed="false">
      <c r="A31" s="91" t="s">
        <v>718</v>
      </c>
      <c r="B31" s="91" t="s">
        <v>792</v>
      </c>
      <c r="C31" s="91" t="s">
        <v>720</v>
      </c>
      <c r="D31" s="91" t="s">
        <v>721</v>
      </c>
      <c r="E31" s="91" t="s">
        <v>351</v>
      </c>
      <c r="F31" s="91" t="n">
        <v>2012</v>
      </c>
      <c r="G31" s="91" t="n">
        <v>18000</v>
      </c>
      <c r="H31" s="91" t="n">
        <v>9070</v>
      </c>
      <c r="I31" s="91" t="s">
        <v>722</v>
      </c>
      <c r="J31" s="95" t="n">
        <v>44964</v>
      </c>
      <c r="K31" s="91" t="s">
        <v>231</v>
      </c>
      <c r="M31" s="91" t="s">
        <v>791</v>
      </c>
      <c r="N31" s="91" t="s">
        <v>233</v>
      </c>
      <c r="O31" s="96" t="str">
        <f aca="false">CO_ORDINATES(N31)</f>
        <v>55.8712203,26.5171099</v>
      </c>
      <c r="Q31" s="91" t="n">
        <v>1</v>
      </c>
    </row>
    <row r="32" s="91" customFormat="true" ht="12.75" hidden="false" customHeight="false" outlineLevel="0" collapsed="false">
      <c r="A32" s="91" t="s">
        <v>718</v>
      </c>
      <c r="B32" s="91" t="s">
        <v>793</v>
      </c>
      <c r="C32" s="91" t="s">
        <v>720</v>
      </c>
      <c r="D32" s="91" t="s">
        <v>721</v>
      </c>
      <c r="E32" s="91" t="s">
        <v>351</v>
      </c>
      <c r="F32" s="91" t="n">
        <v>2012</v>
      </c>
      <c r="G32" s="91" t="n">
        <v>18000</v>
      </c>
      <c r="H32" s="91" t="n">
        <v>8470</v>
      </c>
      <c r="I32" s="91" t="s">
        <v>722</v>
      </c>
      <c r="J32" s="95" t="n">
        <v>44970</v>
      </c>
      <c r="K32" s="91" t="s">
        <v>231</v>
      </c>
      <c r="M32" s="91" t="s">
        <v>791</v>
      </c>
      <c r="N32" s="91" t="s">
        <v>233</v>
      </c>
      <c r="O32" s="96" t="str">
        <f aca="false">CO_ORDINATES(N32)</f>
        <v>55.8712203,26.5171099</v>
      </c>
      <c r="Q32" s="91" t="n">
        <v>1</v>
      </c>
    </row>
    <row r="33" customFormat="false" ht="12.75" hidden="false" customHeight="false" outlineLevel="0" collapsed="false">
      <c r="A33" s="91" t="s">
        <v>718</v>
      </c>
      <c r="B33" s="91" t="s">
        <v>794</v>
      </c>
      <c r="C33" s="91" t="s">
        <v>720</v>
      </c>
      <c r="D33" s="91" t="s">
        <v>721</v>
      </c>
      <c r="E33" s="91" t="s">
        <v>351</v>
      </c>
      <c r="F33" s="91" t="n">
        <v>2012</v>
      </c>
      <c r="G33" s="91" t="n">
        <v>18000</v>
      </c>
      <c r="H33" s="91" t="n">
        <v>8460</v>
      </c>
      <c r="I33" s="91" t="s">
        <v>722</v>
      </c>
      <c r="J33" s="95" t="n">
        <v>44999</v>
      </c>
      <c r="K33" s="91" t="s">
        <v>231</v>
      </c>
      <c r="L33" s="91" t="s">
        <v>795</v>
      </c>
      <c r="M33" s="91" t="s">
        <v>791</v>
      </c>
      <c r="N33" s="91" t="s">
        <v>233</v>
      </c>
      <c r="O33" s="96" t="str">
        <f aca="false">CO_ORDINATES(N33)</f>
        <v>55.8712203,26.5171099</v>
      </c>
      <c r="Q33" s="91" t="n">
        <v>1</v>
      </c>
    </row>
    <row r="34" s="91" customFormat="true" ht="12.75" hidden="false" customHeight="false" outlineLevel="0" collapsed="false">
      <c r="A34" s="91" t="s">
        <v>718</v>
      </c>
      <c r="B34" s="91" t="s">
        <v>796</v>
      </c>
      <c r="C34" s="91" t="s">
        <v>720</v>
      </c>
      <c r="D34" s="91" t="s">
        <v>721</v>
      </c>
      <c r="E34" s="91" t="s">
        <v>351</v>
      </c>
      <c r="F34" s="91" t="n">
        <v>2007</v>
      </c>
      <c r="G34" s="91" t="n">
        <v>20500</v>
      </c>
      <c r="H34" s="91" t="n">
        <v>7800</v>
      </c>
      <c r="I34" s="91" t="s">
        <v>722</v>
      </c>
      <c r="J34" s="95" t="n">
        <v>44755</v>
      </c>
      <c r="K34" s="91" t="s">
        <v>234</v>
      </c>
      <c r="M34" s="91" t="s">
        <v>797</v>
      </c>
      <c r="N34" s="91" t="s">
        <v>236</v>
      </c>
      <c r="O34" s="96" t="str">
        <f aca="false">CO_ORDINATES(N34)</f>
        <v>55.8768916,26.5527102</v>
      </c>
      <c r="Q34" s="91" t="n">
        <v>1</v>
      </c>
    </row>
    <row r="35" s="91" customFormat="true" ht="12.75" hidden="false" customHeight="false" outlineLevel="0" collapsed="false">
      <c r="A35" s="91" t="s">
        <v>718</v>
      </c>
      <c r="B35" s="91" t="s">
        <v>798</v>
      </c>
      <c r="C35" s="91" t="s">
        <v>720</v>
      </c>
      <c r="D35" s="91" t="s">
        <v>721</v>
      </c>
      <c r="E35" s="91" t="s">
        <v>351</v>
      </c>
      <c r="F35" s="91" t="n">
        <v>2007</v>
      </c>
      <c r="G35" s="91" t="n">
        <v>20500</v>
      </c>
      <c r="H35" s="91" t="n">
        <v>7800</v>
      </c>
      <c r="I35" s="91" t="s">
        <v>722</v>
      </c>
      <c r="J35" s="95" t="n">
        <v>44994</v>
      </c>
      <c r="K35" s="91" t="s">
        <v>234</v>
      </c>
      <c r="M35" s="91" t="s">
        <v>797</v>
      </c>
      <c r="N35" s="91" t="s">
        <v>799</v>
      </c>
      <c r="O35" s="96" t="str">
        <f aca="false">CO_ORDINATES(N35)</f>
        <v>55.8714565,26.5170135</v>
      </c>
      <c r="Q35" s="91" t="n">
        <v>1</v>
      </c>
    </row>
    <row r="36" customFormat="false" ht="12.75" hidden="false" customHeight="false" outlineLevel="0" collapsed="false">
      <c r="A36" s="91" t="s">
        <v>718</v>
      </c>
      <c r="B36" s="91" t="s">
        <v>800</v>
      </c>
      <c r="C36" s="91" t="s">
        <v>720</v>
      </c>
      <c r="D36" s="91" t="s">
        <v>801</v>
      </c>
      <c r="E36" s="91" t="s">
        <v>348</v>
      </c>
      <c r="F36" s="91" t="n">
        <v>2013</v>
      </c>
      <c r="G36" s="91" t="n">
        <v>19500</v>
      </c>
      <c r="H36" s="91" t="n">
        <v>8631</v>
      </c>
      <c r="I36" s="91" t="s">
        <v>722</v>
      </c>
      <c r="J36" s="95" t="n">
        <v>45002</v>
      </c>
      <c r="K36" s="91" t="s">
        <v>234</v>
      </c>
      <c r="L36" s="91" t="s">
        <v>235</v>
      </c>
      <c r="M36" s="91" t="s">
        <v>797</v>
      </c>
      <c r="N36" s="91" t="s">
        <v>802</v>
      </c>
      <c r="O36" s="96" t="str">
        <f aca="false">CO_ORDINATES(N36)</f>
        <v>55.8714565,26.5170135</v>
      </c>
      <c r="Q36" s="91" t="n">
        <v>1</v>
      </c>
    </row>
    <row r="37" customFormat="false" ht="12.75" hidden="false" customHeight="false" outlineLevel="0" collapsed="false">
      <c r="A37" s="91" t="s">
        <v>718</v>
      </c>
      <c r="B37" s="91" t="s">
        <v>803</v>
      </c>
      <c r="C37" s="91" t="s">
        <v>731</v>
      </c>
      <c r="D37" s="91" t="s">
        <v>763</v>
      </c>
      <c r="E37" s="91" t="s">
        <v>238</v>
      </c>
      <c r="F37" s="91" t="n">
        <v>2000</v>
      </c>
      <c r="G37" s="91" t="n">
        <v>19700</v>
      </c>
      <c r="H37" s="91" t="n">
        <v>7900</v>
      </c>
      <c r="I37" s="91" t="s">
        <v>722</v>
      </c>
      <c r="J37" s="95" t="n">
        <v>45036</v>
      </c>
      <c r="K37" s="91" t="s">
        <v>237</v>
      </c>
      <c r="L37" s="91" t="s">
        <v>238</v>
      </c>
      <c r="M37" s="91" t="s">
        <v>804</v>
      </c>
      <c r="N37" s="91" t="s">
        <v>239</v>
      </c>
      <c r="O37" s="96" t="str">
        <f aca="false">CO_ORDINATES(N37)</f>
        <v>55.8981536,26.5239821</v>
      </c>
      <c r="Q37" s="91" t="n">
        <v>1</v>
      </c>
    </row>
    <row r="38" s="91" customFormat="true" ht="12.75" hidden="false" customHeight="false" outlineLevel="0" collapsed="false">
      <c r="A38" s="91" t="s">
        <v>718</v>
      </c>
      <c r="B38" s="91" t="s">
        <v>805</v>
      </c>
      <c r="C38" s="91" t="s">
        <v>727</v>
      </c>
      <c r="D38" s="91" t="s">
        <v>806</v>
      </c>
      <c r="E38" s="91" t="s">
        <v>436</v>
      </c>
      <c r="F38" s="91" t="n">
        <v>2008</v>
      </c>
      <c r="G38" s="91" t="n">
        <v>19000</v>
      </c>
      <c r="H38" s="91" t="n">
        <v>8510</v>
      </c>
      <c r="I38" s="91" t="s">
        <v>722</v>
      </c>
      <c r="J38" s="95" t="n">
        <v>44812</v>
      </c>
      <c r="K38" s="91" t="s">
        <v>240</v>
      </c>
      <c r="M38" s="91" t="s">
        <v>807</v>
      </c>
      <c r="N38" s="91" t="s">
        <v>242</v>
      </c>
      <c r="O38" s="96" t="str">
        <f aca="false">CO_ORDINATES(N38)</f>
        <v>56.0535822,26.3694452</v>
      </c>
      <c r="Q38" s="91" t="n">
        <v>1</v>
      </c>
    </row>
    <row r="39" s="91" customFormat="true" ht="12.75" hidden="false" customHeight="false" outlineLevel="0" collapsed="false">
      <c r="A39" s="91" t="s">
        <v>718</v>
      </c>
      <c r="B39" s="91" t="s">
        <v>808</v>
      </c>
      <c r="C39" s="91" t="s">
        <v>727</v>
      </c>
      <c r="D39" s="91" t="s">
        <v>786</v>
      </c>
      <c r="E39" s="91" t="s">
        <v>264</v>
      </c>
      <c r="F39" s="91" t="n">
        <v>2004</v>
      </c>
      <c r="G39" s="91" t="n">
        <v>18600</v>
      </c>
      <c r="H39" s="91" t="n">
        <v>7960</v>
      </c>
      <c r="I39" s="91" t="s">
        <v>722</v>
      </c>
      <c r="J39" s="95" t="n">
        <v>44817</v>
      </c>
      <c r="K39" s="91" t="s">
        <v>240</v>
      </c>
      <c r="M39" s="91" t="s">
        <v>807</v>
      </c>
      <c r="N39" s="91" t="s">
        <v>809</v>
      </c>
      <c r="O39" s="98" t="e">
        <f aca="false">CO_ORDINATES(N39)</f>
        <v>#VALUE!</v>
      </c>
      <c r="Q39" s="91" t="n">
        <v>1</v>
      </c>
    </row>
    <row r="40" s="91" customFormat="true" ht="12.75" hidden="false" customHeight="false" outlineLevel="0" collapsed="false">
      <c r="A40" s="91" t="s">
        <v>718</v>
      </c>
      <c r="B40" s="91" t="s">
        <v>810</v>
      </c>
      <c r="C40" s="91" t="s">
        <v>727</v>
      </c>
      <c r="D40" s="91" t="s">
        <v>811</v>
      </c>
      <c r="E40" s="91" t="s">
        <v>812</v>
      </c>
      <c r="F40" s="91" t="n">
        <v>2001</v>
      </c>
      <c r="G40" s="91" t="n">
        <v>18000</v>
      </c>
      <c r="H40" s="91" t="n">
        <v>7740</v>
      </c>
      <c r="I40" s="91" t="s">
        <v>722</v>
      </c>
      <c r="J40" s="95" t="n">
        <v>44925</v>
      </c>
      <c r="K40" s="91" t="s">
        <v>240</v>
      </c>
      <c r="M40" s="91" t="s">
        <v>807</v>
      </c>
      <c r="N40" s="91" t="s">
        <v>813</v>
      </c>
      <c r="O40" s="98" t="e">
        <f aca="false">CO_ORDINATES(N40)</f>
        <v>#VALUE!</v>
      </c>
      <c r="Q40" s="91" t="n">
        <v>1</v>
      </c>
    </row>
    <row r="41" customFormat="false" ht="12.75" hidden="false" customHeight="false" outlineLevel="0" collapsed="false">
      <c r="A41" s="91" t="s">
        <v>718</v>
      </c>
      <c r="B41" s="91" t="s">
        <v>814</v>
      </c>
      <c r="C41" s="91" t="s">
        <v>731</v>
      </c>
      <c r="D41" s="91" t="s">
        <v>763</v>
      </c>
      <c r="E41" s="91" t="s">
        <v>238</v>
      </c>
      <c r="F41" s="91" t="n">
        <v>2005</v>
      </c>
      <c r="G41" s="91" t="n">
        <v>18000</v>
      </c>
      <c r="H41" s="91" t="n">
        <v>7146</v>
      </c>
      <c r="I41" s="91" t="s">
        <v>722</v>
      </c>
      <c r="J41" s="95" t="n">
        <v>44727</v>
      </c>
      <c r="K41" s="91" t="s">
        <v>240</v>
      </c>
      <c r="L41" s="91" t="s">
        <v>241</v>
      </c>
      <c r="M41" s="91" t="s">
        <v>807</v>
      </c>
      <c r="N41" s="91" t="s">
        <v>809</v>
      </c>
      <c r="O41" s="98" t="e">
        <f aca="false">CO_ORDINATES(N41)</f>
        <v>#VALUE!</v>
      </c>
      <c r="Q41" s="91" t="n">
        <v>1</v>
      </c>
    </row>
    <row r="42" s="91" customFormat="true" ht="12.75" hidden="false" customHeight="false" outlineLevel="0" collapsed="false">
      <c r="A42" s="91" t="s">
        <v>718</v>
      </c>
      <c r="B42" s="91" t="s">
        <v>815</v>
      </c>
      <c r="C42" s="91" t="s">
        <v>720</v>
      </c>
      <c r="D42" s="91" t="s">
        <v>721</v>
      </c>
      <c r="E42" s="91" t="s">
        <v>351</v>
      </c>
      <c r="F42" s="91" t="n">
        <v>2010</v>
      </c>
      <c r="G42" s="91" t="n">
        <v>20500</v>
      </c>
      <c r="H42" s="91" t="n">
        <v>7800</v>
      </c>
      <c r="I42" s="91" t="s">
        <v>722</v>
      </c>
      <c r="J42" s="95" t="n">
        <v>44750</v>
      </c>
      <c r="K42" s="91" t="s">
        <v>243</v>
      </c>
      <c r="M42" s="91" t="s">
        <v>816</v>
      </c>
      <c r="N42" s="91" t="s">
        <v>245</v>
      </c>
      <c r="O42" s="96" t="str">
        <f aca="false">CO_ORDINATES(N42)</f>
        <v>55.8898106,26.5475525</v>
      </c>
      <c r="Q42" s="91" t="n">
        <v>1</v>
      </c>
    </row>
    <row r="43" s="91" customFormat="true" ht="12.75" hidden="false" customHeight="false" outlineLevel="0" collapsed="false">
      <c r="A43" s="91" t="s">
        <v>718</v>
      </c>
      <c r="B43" s="91" t="s">
        <v>817</v>
      </c>
      <c r="C43" s="91" t="s">
        <v>748</v>
      </c>
      <c r="D43" s="91" t="s">
        <v>818</v>
      </c>
      <c r="E43" s="91" t="s">
        <v>819</v>
      </c>
      <c r="F43" s="91" t="n">
        <v>2002</v>
      </c>
      <c r="G43" s="91" t="n">
        <v>18600</v>
      </c>
      <c r="H43" s="91" t="n">
        <v>7330</v>
      </c>
      <c r="I43" s="91" t="s">
        <v>722</v>
      </c>
      <c r="J43" s="95" t="n">
        <v>44698</v>
      </c>
      <c r="K43" s="91" t="s">
        <v>243</v>
      </c>
      <c r="M43" s="91" t="s">
        <v>816</v>
      </c>
      <c r="N43" s="91" t="s">
        <v>245</v>
      </c>
      <c r="O43" s="96" t="str">
        <f aca="false">CO_ORDINATES(N43)</f>
        <v>55.8898106,26.5475525</v>
      </c>
      <c r="Q43" s="91" t="n">
        <v>1</v>
      </c>
    </row>
    <row r="44" s="91" customFormat="true" ht="12.75" hidden="false" customHeight="false" outlineLevel="0" collapsed="false">
      <c r="A44" s="91" t="s">
        <v>718</v>
      </c>
      <c r="B44" s="91" t="s">
        <v>820</v>
      </c>
      <c r="C44" s="91" t="s">
        <v>720</v>
      </c>
      <c r="D44" s="91" t="s">
        <v>821</v>
      </c>
      <c r="E44" s="91" t="s">
        <v>822</v>
      </c>
      <c r="F44" s="91" t="n">
        <v>2006</v>
      </c>
      <c r="G44" s="91" t="n">
        <v>18000</v>
      </c>
      <c r="H44" s="91" t="n">
        <v>7290</v>
      </c>
      <c r="I44" s="91" t="s">
        <v>722</v>
      </c>
      <c r="J44" s="95" t="n">
        <v>45055</v>
      </c>
      <c r="K44" s="91" t="s">
        <v>243</v>
      </c>
      <c r="M44" s="91" t="s">
        <v>816</v>
      </c>
      <c r="N44" s="91" t="s">
        <v>245</v>
      </c>
      <c r="O44" s="96" t="str">
        <f aca="false">CO_ORDINATES(N44)</f>
        <v>55.8898106,26.5475525</v>
      </c>
      <c r="Q44" s="91" t="n">
        <v>1</v>
      </c>
    </row>
    <row r="45" customFormat="false" ht="12.75" hidden="false" customHeight="false" outlineLevel="0" collapsed="false">
      <c r="A45" s="91" t="s">
        <v>718</v>
      </c>
      <c r="B45" s="91" t="s">
        <v>823</v>
      </c>
      <c r="C45" s="91" t="s">
        <v>748</v>
      </c>
      <c r="D45" s="91" t="s">
        <v>824</v>
      </c>
      <c r="E45" s="91" t="s">
        <v>825</v>
      </c>
      <c r="F45" s="91" t="n">
        <v>2008</v>
      </c>
      <c r="G45" s="91" t="n">
        <v>18000</v>
      </c>
      <c r="H45" s="91" t="n">
        <v>8462</v>
      </c>
      <c r="I45" s="91" t="s">
        <v>722</v>
      </c>
      <c r="J45" s="95" t="n">
        <v>44728</v>
      </c>
      <c r="K45" s="91" t="s">
        <v>243</v>
      </c>
      <c r="L45" s="91" t="s">
        <v>244</v>
      </c>
      <c r="M45" s="91" t="s">
        <v>816</v>
      </c>
      <c r="N45" s="91" t="s">
        <v>245</v>
      </c>
      <c r="O45" s="96" t="str">
        <f aca="false">CO_ORDINATES(N45)</f>
        <v>55.8898106,26.5475525</v>
      </c>
      <c r="Q45" s="91" t="n">
        <v>1</v>
      </c>
    </row>
    <row r="46" customFormat="false" ht="12.75" hidden="false" customHeight="false" outlineLevel="0" collapsed="false">
      <c r="A46" s="91" t="s">
        <v>718</v>
      </c>
      <c r="B46" s="91" t="s">
        <v>826</v>
      </c>
      <c r="C46" s="91" t="s">
        <v>727</v>
      </c>
      <c r="D46" s="91" t="s">
        <v>827</v>
      </c>
      <c r="E46" s="91" t="s">
        <v>247</v>
      </c>
      <c r="F46" s="91" t="n">
        <v>2013</v>
      </c>
      <c r="G46" s="91" t="n">
        <v>18000</v>
      </c>
      <c r="H46" s="91" t="n">
        <v>8362</v>
      </c>
      <c r="I46" s="91" t="s">
        <v>722</v>
      </c>
      <c r="J46" s="95" t="n">
        <v>44834</v>
      </c>
      <c r="K46" s="91" t="s">
        <v>246</v>
      </c>
      <c r="L46" s="91" t="s">
        <v>247</v>
      </c>
      <c r="M46" s="91" t="s">
        <v>828</v>
      </c>
      <c r="N46" s="91" t="s">
        <v>248</v>
      </c>
      <c r="O46" s="96" t="str">
        <f aca="false">CO_ORDINATES(N46)</f>
        <v>55.8981536,26.5239821</v>
      </c>
      <c r="Q46" s="91" t="n">
        <v>1</v>
      </c>
    </row>
    <row r="47" s="91" customFormat="true" ht="12.75" hidden="false" customHeight="false" outlineLevel="0" collapsed="false">
      <c r="A47" s="91" t="s">
        <v>718</v>
      </c>
      <c r="B47" s="91" t="s">
        <v>829</v>
      </c>
      <c r="C47" s="91" t="s">
        <v>731</v>
      </c>
      <c r="D47" s="91" t="s">
        <v>732</v>
      </c>
      <c r="E47" s="91" t="s">
        <v>200</v>
      </c>
      <c r="F47" s="91" t="n">
        <v>2016</v>
      </c>
      <c r="G47" s="91" t="n">
        <v>20500</v>
      </c>
      <c r="H47" s="91" t="n">
        <v>8658</v>
      </c>
      <c r="I47" s="91" t="s">
        <v>722</v>
      </c>
      <c r="J47" s="95" t="n">
        <v>44789</v>
      </c>
      <c r="K47" s="91" t="s">
        <v>249</v>
      </c>
      <c r="M47" s="91" t="s">
        <v>830</v>
      </c>
      <c r="N47" s="91" t="s">
        <v>251</v>
      </c>
      <c r="O47" s="96" t="str">
        <f aca="false">CO_ORDINATES(N47)</f>
        <v>55.8973548,26.561578902688808</v>
      </c>
      <c r="Q47" s="91" t="n">
        <v>1</v>
      </c>
    </row>
    <row r="48" s="91" customFormat="true" ht="12.75" hidden="false" customHeight="false" outlineLevel="0" collapsed="false">
      <c r="A48" s="91" t="s">
        <v>718</v>
      </c>
      <c r="B48" s="91" t="s">
        <v>831</v>
      </c>
      <c r="C48" s="91" t="s">
        <v>720</v>
      </c>
      <c r="D48" s="91" t="s">
        <v>738</v>
      </c>
      <c r="E48" s="91" t="s">
        <v>206</v>
      </c>
      <c r="F48" s="91" t="n">
        <v>2007</v>
      </c>
      <c r="G48" s="91" t="n">
        <v>19000</v>
      </c>
      <c r="H48" s="91" t="n">
        <v>8312</v>
      </c>
      <c r="I48" s="91" t="s">
        <v>722</v>
      </c>
      <c r="J48" s="95" t="n">
        <v>45006</v>
      </c>
      <c r="K48" s="91" t="s">
        <v>249</v>
      </c>
      <c r="M48" s="91" t="s">
        <v>830</v>
      </c>
      <c r="N48" s="91" t="s">
        <v>251</v>
      </c>
      <c r="O48" s="96" t="str">
        <f aca="false">CO_ORDINATES(N48)</f>
        <v>55.8973548,26.561578902688808</v>
      </c>
      <c r="Q48" s="91" t="n">
        <v>1</v>
      </c>
    </row>
    <row r="49" customFormat="false" ht="12.75" hidden="false" customHeight="false" outlineLevel="0" collapsed="false">
      <c r="A49" s="91" t="s">
        <v>718</v>
      </c>
      <c r="B49" s="91" t="s">
        <v>832</v>
      </c>
      <c r="C49" s="91" t="s">
        <v>731</v>
      </c>
      <c r="D49" s="91" t="s">
        <v>732</v>
      </c>
      <c r="E49" s="91" t="s">
        <v>200</v>
      </c>
      <c r="F49" s="91" t="n">
        <v>2010</v>
      </c>
      <c r="G49" s="91" t="n">
        <v>18000</v>
      </c>
      <c r="H49" s="91" t="n">
        <v>8200</v>
      </c>
      <c r="I49" s="91" t="s">
        <v>722</v>
      </c>
      <c r="J49" s="95" t="n">
        <v>45006</v>
      </c>
      <c r="K49" s="91" t="s">
        <v>249</v>
      </c>
      <c r="L49" s="91" t="s">
        <v>250</v>
      </c>
      <c r="M49" s="91" t="s">
        <v>830</v>
      </c>
      <c r="N49" s="91" t="s">
        <v>251</v>
      </c>
      <c r="O49" s="96" t="str">
        <f aca="false">CO_ORDINATES(N49)</f>
        <v>55.8973548,26.561578902688808</v>
      </c>
      <c r="Q49" s="91" t="n">
        <v>1</v>
      </c>
    </row>
    <row r="50" s="91" customFormat="true" ht="12.75" hidden="false" customHeight="false" outlineLevel="0" collapsed="false">
      <c r="A50" s="91" t="s">
        <v>718</v>
      </c>
      <c r="B50" s="91" t="s">
        <v>833</v>
      </c>
      <c r="C50" s="91" t="s">
        <v>727</v>
      </c>
      <c r="D50" s="91" t="s">
        <v>834</v>
      </c>
      <c r="E50" s="91" t="s">
        <v>835</v>
      </c>
      <c r="F50" s="91" t="n">
        <v>2003</v>
      </c>
      <c r="G50" s="91" t="n">
        <v>18600</v>
      </c>
      <c r="H50" s="91" t="n">
        <v>7400</v>
      </c>
      <c r="I50" s="91" t="s">
        <v>722</v>
      </c>
      <c r="J50" s="95" t="n">
        <v>44889</v>
      </c>
      <c r="K50" s="91" t="s">
        <v>836</v>
      </c>
      <c r="M50" s="91" t="s">
        <v>837</v>
      </c>
      <c r="N50" s="91" t="s">
        <v>838</v>
      </c>
      <c r="O50" s="98" t="e">
        <f aca="false">CO_ORDINATES(N50)</f>
        <v>#VALUE!</v>
      </c>
      <c r="Q50" s="91" t="n">
        <v>1</v>
      </c>
    </row>
    <row r="51" s="91" customFormat="true" ht="12.75" hidden="false" customHeight="false" outlineLevel="0" collapsed="false">
      <c r="A51" s="91" t="s">
        <v>718</v>
      </c>
      <c r="B51" s="91" t="s">
        <v>839</v>
      </c>
      <c r="C51" s="91" t="s">
        <v>727</v>
      </c>
      <c r="D51" s="91" t="s">
        <v>840</v>
      </c>
      <c r="E51" s="91" t="s">
        <v>841</v>
      </c>
      <c r="F51" s="91" t="n">
        <v>2005</v>
      </c>
      <c r="G51" s="91" t="n">
        <v>18600</v>
      </c>
      <c r="H51" s="91" t="n">
        <v>7120</v>
      </c>
      <c r="I51" s="91" t="s">
        <v>722</v>
      </c>
      <c r="J51" s="95" t="n">
        <v>44924</v>
      </c>
      <c r="K51" s="91" t="s">
        <v>836</v>
      </c>
      <c r="M51" s="91" t="s">
        <v>837</v>
      </c>
      <c r="N51" s="91" t="s">
        <v>842</v>
      </c>
      <c r="O51" s="96" t="str">
        <f aca="false">CO_ORDINATES(N51)</f>
        <v>55.895417,26.4901709</v>
      </c>
      <c r="Q51" s="91" t="n">
        <v>1</v>
      </c>
    </row>
    <row r="52" customFormat="false" ht="12.75" hidden="false" customHeight="false" outlineLevel="0" collapsed="false">
      <c r="A52" s="91" t="s">
        <v>718</v>
      </c>
      <c r="B52" s="91" t="s">
        <v>843</v>
      </c>
      <c r="C52" s="91" t="s">
        <v>727</v>
      </c>
      <c r="D52" s="91" t="s">
        <v>844</v>
      </c>
      <c r="E52" s="91" t="s">
        <v>845</v>
      </c>
      <c r="F52" s="91" t="n">
        <v>2000</v>
      </c>
      <c r="G52" s="91" t="n">
        <v>17100</v>
      </c>
      <c r="H52" s="91" t="n">
        <v>6100</v>
      </c>
      <c r="I52" s="91" t="s">
        <v>722</v>
      </c>
      <c r="J52" s="95" t="n">
        <v>44897</v>
      </c>
      <c r="K52" s="91" t="s">
        <v>836</v>
      </c>
      <c r="L52" s="91" t="s">
        <v>846</v>
      </c>
      <c r="M52" s="91" t="s">
        <v>837</v>
      </c>
      <c r="N52" s="91" t="s">
        <v>842</v>
      </c>
      <c r="O52" s="96" t="str">
        <f aca="false">CO_ORDINATES(N52)</f>
        <v>55.895417,26.4901709</v>
      </c>
      <c r="Q52" s="91" t="n">
        <v>1</v>
      </c>
    </row>
    <row r="53" customFormat="false" ht="12.75" hidden="false" customHeight="false" outlineLevel="0" collapsed="false">
      <c r="A53" s="91" t="s">
        <v>718</v>
      </c>
      <c r="B53" s="91" t="s">
        <v>847</v>
      </c>
      <c r="C53" s="91" t="s">
        <v>731</v>
      </c>
      <c r="D53" s="91" t="s">
        <v>732</v>
      </c>
      <c r="E53" s="91" t="s">
        <v>200</v>
      </c>
      <c r="F53" s="91" t="n">
        <v>2008</v>
      </c>
      <c r="G53" s="91" t="n">
        <v>18000</v>
      </c>
      <c r="H53" s="91" t="n">
        <v>8200</v>
      </c>
      <c r="I53" s="91" t="s">
        <v>722</v>
      </c>
      <c r="J53" s="95" t="n">
        <v>44965</v>
      </c>
      <c r="K53" s="91" t="s">
        <v>252</v>
      </c>
      <c r="L53" s="91" t="s">
        <v>200</v>
      </c>
      <c r="M53" s="91" t="s">
        <v>848</v>
      </c>
      <c r="N53" s="91" t="s">
        <v>253</v>
      </c>
      <c r="O53" s="96" t="str">
        <f aca="false">CO_ORDINATES(N53)</f>
        <v>55.9045984,26.5118651</v>
      </c>
      <c r="Q53" s="91" t="n">
        <v>1</v>
      </c>
    </row>
    <row r="54" s="91" customFormat="true" ht="12.75" hidden="false" customHeight="false" outlineLevel="0" collapsed="false">
      <c r="A54" s="91" t="s">
        <v>718</v>
      </c>
      <c r="B54" s="91" t="s">
        <v>849</v>
      </c>
      <c r="C54" s="91" t="s">
        <v>727</v>
      </c>
      <c r="D54" s="91" t="s">
        <v>806</v>
      </c>
      <c r="E54" s="91" t="s">
        <v>436</v>
      </c>
      <c r="F54" s="91" t="n">
        <v>2007</v>
      </c>
      <c r="G54" s="91" t="n">
        <v>19000</v>
      </c>
      <c r="H54" s="91" t="n">
        <v>8490</v>
      </c>
      <c r="I54" s="91" t="s">
        <v>722</v>
      </c>
      <c r="J54" s="95" t="n">
        <v>44888</v>
      </c>
      <c r="K54" s="91" t="s">
        <v>254</v>
      </c>
      <c r="M54" s="91" t="s">
        <v>850</v>
      </c>
      <c r="N54" s="91" t="s">
        <v>256</v>
      </c>
      <c r="O54" s="96" t="str">
        <f aca="false">CO_ORDINATES(N54)</f>
        <v>55.874205950000004,26.5538813043093</v>
      </c>
      <c r="Q54" s="91" t="n">
        <v>1</v>
      </c>
    </row>
    <row r="55" customFormat="false" ht="12.75" hidden="false" customHeight="false" outlineLevel="0" collapsed="false">
      <c r="A55" s="91" t="s">
        <v>718</v>
      </c>
      <c r="B55" s="91" t="s">
        <v>851</v>
      </c>
      <c r="C55" s="91" t="s">
        <v>731</v>
      </c>
      <c r="D55" s="91" t="s">
        <v>732</v>
      </c>
      <c r="E55" s="91" t="s">
        <v>200</v>
      </c>
      <c r="F55" s="91" t="n">
        <v>2007</v>
      </c>
      <c r="G55" s="91" t="n">
        <v>18000</v>
      </c>
      <c r="H55" s="91" t="n">
        <v>8360</v>
      </c>
      <c r="I55" s="91" t="s">
        <v>722</v>
      </c>
      <c r="J55" s="95" t="n">
        <v>44754</v>
      </c>
      <c r="K55" s="91" t="s">
        <v>254</v>
      </c>
      <c r="L55" s="91" t="s">
        <v>255</v>
      </c>
      <c r="M55" s="91" t="s">
        <v>850</v>
      </c>
      <c r="N55" s="91" t="s">
        <v>256</v>
      </c>
      <c r="O55" s="96" t="str">
        <f aca="false">CO_ORDINATES(N55)</f>
        <v>55.874205950000004,26.5538813043093</v>
      </c>
      <c r="Q55" s="91" t="n">
        <v>1</v>
      </c>
    </row>
    <row r="56" s="91" customFormat="true" ht="12.75" hidden="false" customHeight="false" outlineLevel="0" collapsed="false">
      <c r="A56" s="91" t="s">
        <v>718</v>
      </c>
      <c r="B56" s="91" t="s">
        <v>852</v>
      </c>
      <c r="C56" s="91" t="s">
        <v>727</v>
      </c>
      <c r="D56" s="91" t="s">
        <v>786</v>
      </c>
      <c r="E56" s="91" t="s">
        <v>264</v>
      </c>
      <c r="F56" s="91" t="n">
        <v>2005</v>
      </c>
      <c r="G56" s="91" t="n">
        <v>18000</v>
      </c>
      <c r="H56" s="91" t="n">
        <v>7570</v>
      </c>
      <c r="I56" s="91" t="s">
        <v>722</v>
      </c>
      <c r="J56" s="95" t="n">
        <v>44818</v>
      </c>
      <c r="K56" s="91" t="s">
        <v>257</v>
      </c>
      <c r="M56" s="91" t="s">
        <v>853</v>
      </c>
      <c r="N56" s="91" t="s">
        <v>259</v>
      </c>
      <c r="O56" s="96" t="str">
        <f aca="false">CO_ORDINATES(N56)</f>
        <v>55.8848641,26.5277424</v>
      </c>
      <c r="Q56" s="91" t="n">
        <v>1</v>
      </c>
    </row>
    <row r="57" s="91" customFormat="true" ht="12.75" hidden="false" customHeight="false" outlineLevel="0" collapsed="false">
      <c r="A57" s="91" t="s">
        <v>718</v>
      </c>
      <c r="B57" s="91" t="s">
        <v>854</v>
      </c>
      <c r="C57" s="91" t="s">
        <v>731</v>
      </c>
      <c r="D57" s="91" t="s">
        <v>732</v>
      </c>
      <c r="E57" s="91" t="s">
        <v>200</v>
      </c>
      <c r="F57" s="91" t="n">
        <v>2008</v>
      </c>
      <c r="G57" s="91" t="n">
        <v>18000</v>
      </c>
      <c r="H57" s="91" t="n">
        <v>8270</v>
      </c>
      <c r="I57" s="91" t="s">
        <v>722</v>
      </c>
      <c r="J57" s="95" t="n">
        <v>44897</v>
      </c>
      <c r="K57" s="91" t="s">
        <v>257</v>
      </c>
      <c r="M57" s="91" t="s">
        <v>853</v>
      </c>
      <c r="N57" s="91" t="s">
        <v>259</v>
      </c>
      <c r="O57" s="96" t="str">
        <f aca="false">CO_ORDINATES(N57)</f>
        <v>55.8848641,26.5277424</v>
      </c>
      <c r="Q57" s="91" t="n">
        <v>1</v>
      </c>
    </row>
    <row r="58" s="91" customFormat="true" ht="12.75" hidden="false" customHeight="false" outlineLevel="0" collapsed="false">
      <c r="A58" s="91" t="s">
        <v>718</v>
      </c>
      <c r="B58" s="91" t="s">
        <v>855</v>
      </c>
      <c r="C58" s="91" t="s">
        <v>731</v>
      </c>
      <c r="D58" s="91" t="s">
        <v>732</v>
      </c>
      <c r="E58" s="91" t="s">
        <v>200</v>
      </c>
      <c r="F58" s="91" t="n">
        <v>2008</v>
      </c>
      <c r="G58" s="91" t="n">
        <v>18000</v>
      </c>
      <c r="H58" s="91" t="n">
        <v>7700</v>
      </c>
      <c r="I58" s="91" t="s">
        <v>722</v>
      </c>
      <c r="J58" s="95" t="n">
        <v>44917</v>
      </c>
      <c r="K58" s="91" t="s">
        <v>257</v>
      </c>
      <c r="M58" s="91" t="s">
        <v>853</v>
      </c>
      <c r="N58" s="91" t="s">
        <v>259</v>
      </c>
      <c r="O58" s="96" t="str">
        <f aca="false">CO_ORDINATES(N58)</f>
        <v>55.8848641,26.5277424</v>
      </c>
      <c r="Q58" s="91" t="n">
        <v>1</v>
      </c>
    </row>
    <row r="59" customFormat="false" ht="12.75" hidden="false" customHeight="false" outlineLevel="0" collapsed="false">
      <c r="A59" s="91" t="s">
        <v>718</v>
      </c>
      <c r="B59" s="91" t="s">
        <v>856</v>
      </c>
      <c r="C59" s="91" t="s">
        <v>731</v>
      </c>
      <c r="D59" s="91" t="s">
        <v>763</v>
      </c>
      <c r="E59" s="91" t="s">
        <v>238</v>
      </c>
      <c r="F59" s="91" t="n">
        <v>2001</v>
      </c>
      <c r="G59" s="91" t="n">
        <v>18000</v>
      </c>
      <c r="H59" s="91" t="n">
        <v>7800</v>
      </c>
      <c r="I59" s="91" t="s">
        <v>722</v>
      </c>
      <c r="J59" s="95" t="n">
        <v>44728</v>
      </c>
      <c r="K59" s="91" t="s">
        <v>257</v>
      </c>
      <c r="L59" s="91" t="s">
        <v>258</v>
      </c>
      <c r="M59" s="91" t="s">
        <v>853</v>
      </c>
      <c r="N59" s="91" t="s">
        <v>259</v>
      </c>
      <c r="O59" s="96" t="str">
        <f aca="false">CO_ORDINATES(N59)</f>
        <v>55.8848641,26.5277424</v>
      </c>
      <c r="Q59" s="91" t="n">
        <v>1</v>
      </c>
    </row>
    <row r="60" s="91" customFormat="true" ht="12.75" hidden="false" customHeight="false" outlineLevel="0" collapsed="false">
      <c r="A60" s="91" t="s">
        <v>718</v>
      </c>
      <c r="B60" s="91" t="s">
        <v>857</v>
      </c>
      <c r="C60" s="91" t="s">
        <v>731</v>
      </c>
      <c r="D60" s="91" t="s">
        <v>763</v>
      </c>
      <c r="E60" s="91" t="s">
        <v>238</v>
      </c>
      <c r="F60" s="91" t="n">
        <v>2004</v>
      </c>
      <c r="G60" s="91" t="n">
        <v>19500</v>
      </c>
      <c r="H60" s="91" t="n">
        <v>7780</v>
      </c>
      <c r="I60" s="91" t="s">
        <v>722</v>
      </c>
      <c r="J60" s="95" t="n">
        <v>44707</v>
      </c>
      <c r="K60" s="91" t="s">
        <v>260</v>
      </c>
      <c r="M60" s="91" t="s">
        <v>858</v>
      </c>
      <c r="N60" s="91" t="s">
        <v>262</v>
      </c>
      <c r="O60" s="98" t="e">
        <f aca="false">CO_ORDINATES(N60)</f>
        <v>#VALUE!</v>
      </c>
      <c r="Q60" s="91" t="n">
        <v>1</v>
      </c>
    </row>
    <row r="61" customFormat="false" ht="12.75" hidden="false" customHeight="false" outlineLevel="0" collapsed="false">
      <c r="A61" s="91" t="s">
        <v>718</v>
      </c>
      <c r="B61" s="91" t="s">
        <v>859</v>
      </c>
      <c r="C61" s="91" t="s">
        <v>731</v>
      </c>
      <c r="D61" s="91" t="s">
        <v>860</v>
      </c>
      <c r="E61" s="91" t="s">
        <v>861</v>
      </c>
      <c r="F61" s="91" t="n">
        <v>2001</v>
      </c>
      <c r="G61" s="91" t="n">
        <v>18200</v>
      </c>
      <c r="H61" s="91" t="n">
        <v>7300</v>
      </c>
      <c r="I61" s="91" t="s">
        <v>722</v>
      </c>
      <c r="J61" s="95" t="n">
        <v>44826</v>
      </c>
      <c r="K61" s="91" t="s">
        <v>260</v>
      </c>
      <c r="L61" s="91" t="s">
        <v>261</v>
      </c>
      <c r="M61" s="91" t="s">
        <v>858</v>
      </c>
      <c r="N61" s="91" t="s">
        <v>862</v>
      </c>
      <c r="O61" s="98" t="e">
        <f aca="false">CO_ORDINATES(N61)</f>
        <v>#VALUE!</v>
      </c>
      <c r="Q61" s="91" t="n">
        <v>1</v>
      </c>
    </row>
    <row r="62" customFormat="false" ht="12.75" hidden="false" customHeight="false" outlineLevel="0" collapsed="false">
      <c r="A62" s="91" t="s">
        <v>718</v>
      </c>
      <c r="B62" s="91" t="s">
        <v>863</v>
      </c>
      <c r="C62" s="91" t="s">
        <v>727</v>
      </c>
      <c r="D62" s="91" t="s">
        <v>786</v>
      </c>
      <c r="E62" s="91" t="s">
        <v>264</v>
      </c>
      <c r="F62" s="91" t="n">
        <v>2011</v>
      </c>
      <c r="G62" s="91" t="n">
        <v>18600</v>
      </c>
      <c r="H62" s="91" t="n">
        <v>8220</v>
      </c>
      <c r="I62" s="91" t="s">
        <v>722</v>
      </c>
      <c r="J62" s="95" t="n">
        <v>44776</v>
      </c>
      <c r="K62" s="91" t="s">
        <v>263</v>
      </c>
      <c r="L62" s="91" t="s">
        <v>264</v>
      </c>
      <c r="M62" s="91" t="s">
        <v>864</v>
      </c>
      <c r="N62" s="91" t="s">
        <v>265</v>
      </c>
      <c r="O62" s="96" t="str">
        <f aca="false">CO_ORDINATES(N62)</f>
        <v>55.8747674,26.549251</v>
      </c>
      <c r="Q62" s="91" t="n">
        <v>1</v>
      </c>
    </row>
    <row r="63" s="91" customFormat="true" ht="12.75" hidden="false" customHeight="false" outlineLevel="0" collapsed="false">
      <c r="A63" s="91" t="s">
        <v>718</v>
      </c>
      <c r="B63" s="91" t="s">
        <v>865</v>
      </c>
      <c r="C63" s="91" t="s">
        <v>720</v>
      </c>
      <c r="D63" s="91" t="s">
        <v>866</v>
      </c>
      <c r="E63" s="91" t="s">
        <v>867</v>
      </c>
      <c r="F63" s="91" t="n">
        <v>2004</v>
      </c>
      <c r="G63" s="91" t="n">
        <v>20500</v>
      </c>
      <c r="H63" s="91" t="n">
        <v>7990</v>
      </c>
      <c r="I63" s="91" t="s">
        <v>868</v>
      </c>
      <c r="J63" s="95" t="n">
        <v>44782</v>
      </c>
      <c r="K63" s="91" t="s">
        <v>266</v>
      </c>
      <c r="M63" s="91" t="s">
        <v>869</v>
      </c>
      <c r="N63" s="91" t="s">
        <v>268</v>
      </c>
      <c r="O63" s="96" t="str">
        <f aca="false">CO_ORDINATES(N63)</f>
        <v>55.8749966,26.5522684</v>
      </c>
      <c r="P63" s="91" t="s">
        <v>870</v>
      </c>
      <c r="Q63" s="91" t="n">
        <v>1</v>
      </c>
    </row>
    <row r="64" s="91" customFormat="true" ht="12.75" hidden="false" customHeight="false" outlineLevel="0" collapsed="false">
      <c r="A64" s="91" t="s">
        <v>718</v>
      </c>
      <c r="B64" s="91" t="s">
        <v>871</v>
      </c>
      <c r="C64" s="91" t="s">
        <v>748</v>
      </c>
      <c r="D64" s="91" t="s">
        <v>818</v>
      </c>
      <c r="E64" s="91" t="s">
        <v>819</v>
      </c>
      <c r="F64" s="91" t="n">
        <v>2000</v>
      </c>
      <c r="G64" s="91" t="n">
        <v>18000</v>
      </c>
      <c r="H64" s="91" t="n">
        <v>7725</v>
      </c>
      <c r="I64" s="91" t="s">
        <v>722</v>
      </c>
      <c r="J64" s="95" t="n">
        <v>44742</v>
      </c>
      <c r="K64" s="91" t="s">
        <v>266</v>
      </c>
      <c r="M64" s="91" t="s">
        <v>869</v>
      </c>
      <c r="N64" s="91" t="s">
        <v>872</v>
      </c>
      <c r="O64" s="96" t="str">
        <f aca="false">CO_ORDINATES(N64)</f>
        <v>55.8749966,26.5522684</v>
      </c>
      <c r="Q64" s="91" t="n">
        <v>1</v>
      </c>
    </row>
    <row r="65" s="91" customFormat="true" ht="12.75" hidden="false" customHeight="false" outlineLevel="0" collapsed="false">
      <c r="A65" s="91" t="s">
        <v>718</v>
      </c>
      <c r="B65" s="91" t="s">
        <v>873</v>
      </c>
      <c r="C65" s="91" t="s">
        <v>720</v>
      </c>
      <c r="D65" s="91" t="s">
        <v>755</v>
      </c>
      <c r="E65" s="91" t="s">
        <v>217</v>
      </c>
      <c r="F65" s="91" t="n">
        <v>2011</v>
      </c>
      <c r="G65" s="91" t="n">
        <v>18000</v>
      </c>
      <c r="H65" s="91" t="n">
        <v>8250</v>
      </c>
      <c r="I65" s="91" t="s">
        <v>722</v>
      </c>
      <c r="J65" s="95" t="n">
        <v>44840</v>
      </c>
      <c r="K65" s="91" t="s">
        <v>266</v>
      </c>
      <c r="M65" s="91" t="s">
        <v>869</v>
      </c>
      <c r="N65" s="91" t="s">
        <v>268</v>
      </c>
      <c r="O65" s="96" t="str">
        <f aca="false">CO_ORDINATES(N65)</f>
        <v>55.8749966,26.5522684</v>
      </c>
      <c r="Q65" s="91" t="n">
        <v>1</v>
      </c>
    </row>
    <row r="66" customFormat="false" ht="12.75" hidden="false" customHeight="false" outlineLevel="0" collapsed="false">
      <c r="A66" s="91" t="s">
        <v>718</v>
      </c>
      <c r="B66" s="91" t="s">
        <v>874</v>
      </c>
      <c r="C66" s="91" t="s">
        <v>731</v>
      </c>
      <c r="D66" s="91" t="s">
        <v>875</v>
      </c>
      <c r="E66" s="91" t="s">
        <v>876</v>
      </c>
      <c r="F66" s="91" t="n">
        <v>1999</v>
      </c>
      <c r="G66" s="91" t="n">
        <v>17990</v>
      </c>
      <c r="H66" s="91" t="n">
        <v>7420</v>
      </c>
      <c r="I66" s="91" t="s">
        <v>722</v>
      </c>
      <c r="J66" s="95" t="n">
        <v>44831</v>
      </c>
      <c r="K66" s="91" t="s">
        <v>266</v>
      </c>
      <c r="L66" s="91" t="s">
        <v>267</v>
      </c>
      <c r="M66" s="91" t="s">
        <v>869</v>
      </c>
      <c r="N66" s="91" t="s">
        <v>268</v>
      </c>
      <c r="O66" s="96" t="str">
        <f aca="false">CO_ORDINATES(N66)</f>
        <v>55.8749966,26.5522684</v>
      </c>
      <c r="Q66" s="91" t="n">
        <v>1</v>
      </c>
    </row>
    <row r="67" customFormat="false" ht="12.75" hidden="false" customHeight="false" outlineLevel="0" collapsed="false">
      <c r="A67" s="91" t="s">
        <v>718</v>
      </c>
      <c r="B67" s="91" t="s">
        <v>877</v>
      </c>
      <c r="C67" s="91" t="s">
        <v>771</v>
      </c>
      <c r="D67" s="91" t="s">
        <v>878</v>
      </c>
      <c r="E67" s="91" t="s">
        <v>270</v>
      </c>
      <c r="F67" s="91" t="n">
        <v>2005</v>
      </c>
      <c r="G67" s="91" t="n">
        <v>18000</v>
      </c>
      <c r="H67" s="91" t="n">
        <v>6850</v>
      </c>
      <c r="I67" s="91" t="s">
        <v>722</v>
      </c>
      <c r="J67" s="95" t="n">
        <v>44860</v>
      </c>
      <c r="K67" s="91" t="s">
        <v>269</v>
      </c>
      <c r="L67" s="91" t="s">
        <v>270</v>
      </c>
      <c r="M67" s="91" t="s">
        <v>879</v>
      </c>
      <c r="N67" s="91" t="s">
        <v>224</v>
      </c>
      <c r="O67" s="98" t="e">
        <f aca="false">CO_ORDINATES(N67)</f>
        <v>#VALUE!</v>
      </c>
      <c r="Q67" s="91" t="n">
        <v>1</v>
      </c>
    </row>
    <row r="68" customFormat="false" ht="12.75" hidden="false" customHeight="false" outlineLevel="0" collapsed="false">
      <c r="A68" s="91" t="s">
        <v>718</v>
      </c>
      <c r="B68" s="91" t="s">
        <v>880</v>
      </c>
      <c r="C68" s="91" t="s">
        <v>727</v>
      </c>
      <c r="D68" s="91" t="s">
        <v>827</v>
      </c>
      <c r="E68" s="91" t="s">
        <v>247</v>
      </c>
      <c r="F68" s="91" t="n">
        <v>2011</v>
      </c>
      <c r="G68" s="91" t="n">
        <v>18000</v>
      </c>
      <c r="H68" s="91" t="n">
        <v>8240</v>
      </c>
      <c r="I68" s="91" t="s">
        <v>722</v>
      </c>
      <c r="J68" s="95" t="n">
        <v>44790</v>
      </c>
      <c r="K68" s="91" t="s">
        <v>271</v>
      </c>
      <c r="L68" s="91" t="s">
        <v>247</v>
      </c>
      <c r="M68" s="91" t="s">
        <v>881</v>
      </c>
      <c r="N68" s="91" t="s">
        <v>272</v>
      </c>
      <c r="O68" s="96" t="str">
        <f aca="false">CO_ORDINATES(N68)</f>
        <v>55.870237,26.5110414</v>
      </c>
      <c r="Q68" s="91" t="n">
        <v>1</v>
      </c>
    </row>
    <row r="69" customFormat="false" ht="12.75" hidden="false" customHeight="false" outlineLevel="0" collapsed="false">
      <c r="A69" s="91" t="s">
        <v>718</v>
      </c>
      <c r="B69" s="91" t="s">
        <v>882</v>
      </c>
      <c r="C69" s="91" t="s">
        <v>727</v>
      </c>
      <c r="D69" s="91" t="s">
        <v>786</v>
      </c>
      <c r="E69" s="91" t="s">
        <v>264</v>
      </c>
      <c r="F69" s="91" t="n">
        <v>2011</v>
      </c>
      <c r="G69" s="91" t="n">
        <v>18600</v>
      </c>
      <c r="H69" s="91" t="n">
        <v>8510</v>
      </c>
      <c r="I69" s="91" t="s">
        <v>722</v>
      </c>
      <c r="J69" s="95" t="n">
        <v>44805</v>
      </c>
      <c r="K69" s="91" t="s">
        <v>273</v>
      </c>
      <c r="L69" s="91" t="s">
        <v>264</v>
      </c>
      <c r="M69" s="91" t="s">
        <v>883</v>
      </c>
      <c r="N69" s="91" t="s">
        <v>274</v>
      </c>
      <c r="O69" s="96" t="str">
        <f aca="false">CO_ORDINATES(N69)</f>
        <v>55.87047695,26.551902037618273</v>
      </c>
      <c r="Q69" s="91" t="n">
        <v>1</v>
      </c>
    </row>
    <row r="70" s="91" customFormat="true" ht="12.75" hidden="false" customHeight="false" outlineLevel="0" collapsed="false">
      <c r="A70" s="91" t="s">
        <v>718</v>
      </c>
      <c r="B70" s="91" t="s">
        <v>884</v>
      </c>
      <c r="C70" s="91" t="s">
        <v>731</v>
      </c>
      <c r="D70" s="91" t="s">
        <v>732</v>
      </c>
      <c r="E70" s="91" t="s">
        <v>200</v>
      </c>
      <c r="F70" s="91" t="n">
        <v>2016</v>
      </c>
      <c r="G70" s="91" t="n">
        <v>20500</v>
      </c>
      <c r="H70" s="91" t="n">
        <v>8594</v>
      </c>
      <c r="I70" s="91" t="s">
        <v>722</v>
      </c>
      <c r="J70" s="95" t="n">
        <v>44942</v>
      </c>
      <c r="K70" s="91" t="s">
        <v>275</v>
      </c>
      <c r="M70" s="91" t="s">
        <v>885</v>
      </c>
      <c r="N70" s="91" t="s">
        <v>277</v>
      </c>
      <c r="O70" s="98" t="e">
        <f aca="false">CO_ORDINATES(N70)</f>
        <v>#VALUE!</v>
      </c>
      <c r="Q70" s="91" t="n">
        <v>1</v>
      </c>
    </row>
    <row r="71" s="91" customFormat="true" ht="12.75" hidden="false" customHeight="false" outlineLevel="0" collapsed="false">
      <c r="A71" s="91" t="s">
        <v>718</v>
      </c>
      <c r="B71" s="91" t="s">
        <v>886</v>
      </c>
      <c r="C71" s="91" t="s">
        <v>731</v>
      </c>
      <c r="D71" s="91" t="s">
        <v>732</v>
      </c>
      <c r="E71" s="91" t="s">
        <v>200</v>
      </c>
      <c r="F71" s="91" t="n">
        <v>2014</v>
      </c>
      <c r="G71" s="91" t="n">
        <v>20100</v>
      </c>
      <c r="H71" s="91" t="n">
        <v>8498</v>
      </c>
      <c r="I71" s="91" t="s">
        <v>722</v>
      </c>
      <c r="J71" s="95" t="n">
        <v>44971</v>
      </c>
      <c r="K71" s="91" t="s">
        <v>275</v>
      </c>
      <c r="M71" s="91" t="s">
        <v>885</v>
      </c>
      <c r="N71" s="91" t="s">
        <v>277</v>
      </c>
      <c r="O71" s="98" t="e">
        <f aca="false">CO_ORDINATES(N71)</f>
        <v>#VALUE!</v>
      </c>
      <c r="Q71" s="91" t="n">
        <v>1</v>
      </c>
    </row>
    <row r="72" s="91" customFormat="true" ht="12.75" hidden="false" customHeight="false" outlineLevel="0" collapsed="false">
      <c r="A72" s="91" t="s">
        <v>718</v>
      </c>
      <c r="B72" s="91" t="s">
        <v>887</v>
      </c>
      <c r="C72" s="91" t="s">
        <v>731</v>
      </c>
      <c r="D72" s="91" t="s">
        <v>732</v>
      </c>
      <c r="E72" s="91" t="s">
        <v>200</v>
      </c>
      <c r="F72" s="91" t="n">
        <v>2016</v>
      </c>
      <c r="G72" s="91" t="n">
        <v>19700</v>
      </c>
      <c r="H72" s="91" t="n">
        <v>8544</v>
      </c>
      <c r="I72" s="91" t="s">
        <v>722</v>
      </c>
      <c r="J72" s="95" t="n">
        <v>44880</v>
      </c>
      <c r="K72" s="91" t="s">
        <v>275</v>
      </c>
      <c r="M72" s="91" t="s">
        <v>885</v>
      </c>
      <c r="N72" s="91" t="s">
        <v>277</v>
      </c>
      <c r="O72" s="98" t="e">
        <f aca="false">CO_ORDINATES(N72)</f>
        <v>#VALUE!</v>
      </c>
      <c r="Q72" s="91" t="n">
        <v>1</v>
      </c>
    </row>
    <row r="73" s="91" customFormat="true" ht="12.75" hidden="false" customHeight="false" outlineLevel="0" collapsed="false">
      <c r="A73" s="91" t="s">
        <v>718</v>
      </c>
      <c r="B73" s="91" t="s">
        <v>888</v>
      </c>
      <c r="C73" s="91" t="s">
        <v>720</v>
      </c>
      <c r="D73" s="91" t="s">
        <v>801</v>
      </c>
      <c r="E73" s="91" t="s">
        <v>348</v>
      </c>
      <c r="F73" s="91" t="n">
        <v>2013</v>
      </c>
      <c r="G73" s="91" t="n">
        <v>19500</v>
      </c>
      <c r="H73" s="91" t="n">
        <v>8680</v>
      </c>
      <c r="I73" s="91" t="s">
        <v>868</v>
      </c>
      <c r="J73" s="95" t="n">
        <v>44652</v>
      </c>
      <c r="K73" s="91" t="s">
        <v>275</v>
      </c>
      <c r="M73" s="91" t="s">
        <v>885</v>
      </c>
      <c r="N73" s="91" t="s">
        <v>277</v>
      </c>
      <c r="O73" s="98" t="e">
        <f aca="false">CO_ORDINATES(N73)</f>
        <v>#VALUE!</v>
      </c>
      <c r="Q73" s="91" t="n">
        <v>1</v>
      </c>
    </row>
    <row r="74" s="91" customFormat="true" ht="12.75" hidden="false" customHeight="false" outlineLevel="0" collapsed="false">
      <c r="A74" s="91" t="s">
        <v>718</v>
      </c>
      <c r="B74" s="91" t="s">
        <v>889</v>
      </c>
      <c r="C74" s="91" t="s">
        <v>720</v>
      </c>
      <c r="D74" s="91" t="s">
        <v>801</v>
      </c>
      <c r="E74" s="91" t="s">
        <v>348</v>
      </c>
      <c r="F74" s="91" t="n">
        <v>2013</v>
      </c>
      <c r="G74" s="91" t="n">
        <v>19500</v>
      </c>
      <c r="H74" s="91" t="n">
        <v>8680</v>
      </c>
      <c r="I74" s="91" t="s">
        <v>868</v>
      </c>
      <c r="J74" s="95" t="n">
        <v>44652</v>
      </c>
      <c r="K74" s="91" t="s">
        <v>275</v>
      </c>
      <c r="M74" s="91" t="s">
        <v>885</v>
      </c>
      <c r="N74" s="91" t="s">
        <v>277</v>
      </c>
      <c r="O74" s="98" t="e">
        <f aca="false">CO_ORDINATES(N74)</f>
        <v>#VALUE!</v>
      </c>
      <c r="Q74" s="91" t="n">
        <v>1</v>
      </c>
    </row>
    <row r="75" s="91" customFormat="true" ht="12.75" hidden="false" customHeight="false" outlineLevel="0" collapsed="false">
      <c r="A75" s="91" t="s">
        <v>718</v>
      </c>
      <c r="B75" s="91" t="s">
        <v>890</v>
      </c>
      <c r="C75" s="91" t="s">
        <v>748</v>
      </c>
      <c r="D75" s="91" t="s">
        <v>824</v>
      </c>
      <c r="E75" s="91" t="s">
        <v>825</v>
      </c>
      <c r="F75" s="91" t="n">
        <v>2009</v>
      </c>
      <c r="G75" s="91" t="n">
        <v>18000</v>
      </c>
      <c r="H75" s="91" t="n">
        <v>8385</v>
      </c>
      <c r="I75" s="91" t="s">
        <v>722</v>
      </c>
      <c r="J75" s="95" t="n">
        <v>44732</v>
      </c>
      <c r="K75" s="91" t="s">
        <v>275</v>
      </c>
      <c r="M75" s="91" t="s">
        <v>885</v>
      </c>
      <c r="N75" s="91" t="s">
        <v>277</v>
      </c>
      <c r="O75" s="98" t="e">
        <f aca="false">CO_ORDINATES(N75)</f>
        <v>#VALUE!</v>
      </c>
      <c r="Q75" s="91" t="n">
        <v>1</v>
      </c>
    </row>
    <row r="76" customFormat="false" ht="12.75" hidden="false" customHeight="false" outlineLevel="0" collapsed="false">
      <c r="A76" s="91" t="s">
        <v>718</v>
      </c>
      <c r="B76" s="91" t="s">
        <v>891</v>
      </c>
      <c r="C76" s="91" t="s">
        <v>748</v>
      </c>
      <c r="D76" s="91" t="s">
        <v>824</v>
      </c>
      <c r="E76" s="91" t="s">
        <v>825</v>
      </c>
      <c r="F76" s="91" t="n">
        <v>2008</v>
      </c>
      <c r="G76" s="91" t="n">
        <v>18000</v>
      </c>
      <c r="H76" s="91" t="n">
        <v>8452</v>
      </c>
      <c r="I76" s="91" t="s">
        <v>722</v>
      </c>
      <c r="J76" s="95" t="n">
        <v>44776</v>
      </c>
      <c r="K76" s="91" t="s">
        <v>275</v>
      </c>
      <c r="L76" s="91" t="s">
        <v>892</v>
      </c>
      <c r="M76" s="91" t="s">
        <v>885</v>
      </c>
      <c r="N76" s="91" t="s">
        <v>277</v>
      </c>
      <c r="O76" s="98" t="e">
        <f aca="false">CO_ORDINATES(N76)</f>
        <v>#VALUE!</v>
      </c>
      <c r="Q76" s="91" t="n">
        <v>1</v>
      </c>
    </row>
    <row r="77" customFormat="false" ht="12.75" hidden="false" customHeight="false" outlineLevel="0" collapsed="false">
      <c r="A77" s="91" t="s">
        <v>718</v>
      </c>
      <c r="B77" s="91" t="s">
        <v>893</v>
      </c>
      <c r="C77" s="91" t="s">
        <v>727</v>
      </c>
      <c r="D77" s="91" t="s">
        <v>786</v>
      </c>
      <c r="E77" s="91" t="s">
        <v>264</v>
      </c>
      <c r="F77" s="91" t="n">
        <v>2008</v>
      </c>
      <c r="G77" s="91" t="n">
        <v>19000</v>
      </c>
      <c r="H77" s="91" t="n">
        <v>8450</v>
      </c>
      <c r="I77" s="91" t="s">
        <v>722</v>
      </c>
      <c r="J77" s="95" t="n">
        <v>44944</v>
      </c>
      <c r="K77" s="91" t="s">
        <v>278</v>
      </c>
      <c r="L77" s="91" t="s">
        <v>264</v>
      </c>
      <c r="M77" s="91" t="s">
        <v>894</v>
      </c>
      <c r="N77" s="91" t="s">
        <v>279</v>
      </c>
      <c r="O77" s="96" t="str">
        <f aca="false">CO_ORDINATES(N77)</f>
        <v>55.8768916,26.5527102</v>
      </c>
      <c r="Q77" s="91" t="n">
        <v>1</v>
      </c>
    </row>
    <row r="78" customFormat="false" ht="12.75" hidden="false" customHeight="false" outlineLevel="0" collapsed="false">
      <c r="A78" s="91" t="s">
        <v>718</v>
      </c>
      <c r="B78" s="91" t="s">
        <v>895</v>
      </c>
      <c r="C78" s="91" t="s">
        <v>720</v>
      </c>
      <c r="D78" s="91" t="s">
        <v>725</v>
      </c>
      <c r="E78" s="91" t="s">
        <v>281</v>
      </c>
      <c r="F78" s="91" t="n">
        <v>2015</v>
      </c>
      <c r="G78" s="91" t="n">
        <v>18000</v>
      </c>
      <c r="H78" s="91" t="n">
        <v>8572</v>
      </c>
      <c r="I78" s="91" t="s">
        <v>722</v>
      </c>
      <c r="J78" s="95" t="n">
        <v>44910</v>
      </c>
      <c r="K78" s="91" t="s">
        <v>280</v>
      </c>
      <c r="L78" s="91" t="s">
        <v>281</v>
      </c>
      <c r="M78" s="91" t="s">
        <v>896</v>
      </c>
      <c r="N78" s="91" t="s">
        <v>282</v>
      </c>
      <c r="O78" s="96" t="str">
        <f aca="false">CO_ORDINATES(N78)</f>
        <v>55.8888198,26.5458117</v>
      </c>
      <c r="Q78" s="91" t="n">
        <v>1</v>
      </c>
    </row>
    <row r="79" customFormat="false" ht="12.75" hidden="false" customHeight="false" outlineLevel="0" collapsed="false">
      <c r="A79" s="91" t="s">
        <v>718</v>
      </c>
      <c r="B79" s="91" t="s">
        <v>897</v>
      </c>
      <c r="C79" s="91" t="s">
        <v>771</v>
      </c>
      <c r="D79" s="91" t="s">
        <v>898</v>
      </c>
      <c r="E79" s="91" t="s">
        <v>284</v>
      </c>
      <c r="F79" s="91" t="n">
        <v>2007</v>
      </c>
      <c r="G79" s="91" t="n">
        <v>19000</v>
      </c>
      <c r="H79" s="91" t="n">
        <v>7080</v>
      </c>
      <c r="I79" s="91" t="s">
        <v>722</v>
      </c>
      <c r="J79" s="95" t="n">
        <v>44749</v>
      </c>
      <c r="K79" s="91" t="s">
        <v>283</v>
      </c>
      <c r="L79" s="91" t="s">
        <v>284</v>
      </c>
      <c r="M79" s="91" t="s">
        <v>899</v>
      </c>
      <c r="N79" s="91" t="s">
        <v>285</v>
      </c>
      <c r="O79" s="96" t="str">
        <f aca="false">CO_ORDINATES(N79)</f>
        <v>55.87116075,26.564056179442105</v>
      </c>
      <c r="Q79" s="91" t="n">
        <v>1</v>
      </c>
    </row>
    <row r="80" customFormat="false" ht="12.75" hidden="false" customHeight="false" outlineLevel="0" collapsed="false">
      <c r="A80" s="91" t="s">
        <v>718</v>
      </c>
      <c r="B80" s="91" t="s">
        <v>900</v>
      </c>
      <c r="C80" s="91" t="s">
        <v>727</v>
      </c>
      <c r="D80" s="91" t="s">
        <v>786</v>
      </c>
      <c r="E80" s="91" t="s">
        <v>264</v>
      </c>
      <c r="F80" s="91" t="n">
        <v>2006</v>
      </c>
      <c r="G80" s="91" t="n">
        <v>18600</v>
      </c>
      <c r="H80" s="91" t="n">
        <v>7950</v>
      </c>
      <c r="I80" s="91" t="s">
        <v>722</v>
      </c>
      <c r="J80" s="95" t="n">
        <v>44986</v>
      </c>
      <c r="K80" s="91" t="s">
        <v>286</v>
      </c>
      <c r="L80" s="91" t="s">
        <v>264</v>
      </c>
      <c r="M80" s="91" t="s">
        <v>901</v>
      </c>
      <c r="N80" s="91" t="s">
        <v>287</v>
      </c>
      <c r="O80" s="98" t="e">
        <f aca="false">CO_ORDINATES(N80)</f>
        <v>#VALUE!</v>
      </c>
      <c r="Q80" s="91" t="n">
        <v>1</v>
      </c>
    </row>
    <row r="81" customFormat="false" ht="12.75" hidden="false" customHeight="false" outlineLevel="0" collapsed="false">
      <c r="A81" s="97" t="s">
        <v>718</v>
      </c>
      <c r="B81" s="97" t="s">
        <v>902</v>
      </c>
      <c r="C81" s="97" t="s">
        <v>727</v>
      </c>
      <c r="D81" s="97" t="s">
        <v>766</v>
      </c>
      <c r="E81" s="97" t="s">
        <v>767</v>
      </c>
      <c r="F81" s="97" t="n">
        <v>2003</v>
      </c>
      <c r="G81" s="97" t="n">
        <v>29500</v>
      </c>
      <c r="H81" s="97" t="n">
        <v>10610</v>
      </c>
      <c r="I81" s="97" t="s">
        <v>722</v>
      </c>
      <c r="J81" s="99" t="n">
        <v>44784</v>
      </c>
      <c r="K81" s="97" t="s">
        <v>288</v>
      </c>
      <c r="L81" s="97"/>
      <c r="M81" s="97" t="s">
        <v>903</v>
      </c>
      <c r="N81" s="97" t="s">
        <v>290</v>
      </c>
      <c r="O81" s="98" t="e">
        <f aca="false">CO_ORDINATES(N81)</f>
        <v>#VALUE!</v>
      </c>
      <c r="P81" s="100" t="n">
        <v>29121830</v>
      </c>
      <c r="Q81" s="97" t="n">
        <v>1</v>
      </c>
    </row>
    <row r="82" customFormat="false" ht="12.75" hidden="false" customHeight="false" outlineLevel="0" collapsed="false">
      <c r="A82" s="97" t="s">
        <v>718</v>
      </c>
      <c r="B82" s="97" t="s">
        <v>904</v>
      </c>
      <c r="C82" s="97" t="s">
        <v>727</v>
      </c>
      <c r="D82" s="97" t="s">
        <v>840</v>
      </c>
      <c r="E82" s="97" t="s">
        <v>841</v>
      </c>
      <c r="F82" s="97" t="n">
        <v>2011</v>
      </c>
      <c r="G82" s="97" t="n">
        <v>26000</v>
      </c>
      <c r="H82" s="97" t="n">
        <v>8855</v>
      </c>
      <c r="I82" s="97" t="s">
        <v>722</v>
      </c>
      <c r="J82" s="99" t="n">
        <v>44756</v>
      </c>
      <c r="K82" s="97" t="s">
        <v>288</v>
      </c>
      <c r="L82" s="97"/>
      <c r="M82" s="97" t="s">
        <v>903</v>
      </c>
      <c r="N82" s="97" t="s">
        <v>290</v>
      </c>
      <c r="O82" s="98" t="e">
        <f aca="false">CO_ORDINATES(N82)</f>
        <v>#VALUE!</v>
      </c>
      <c r="P82" s="97"/>
      <c r="Q82" s="97" t="n">
        <v>1</v>
      </c>
    </row>
    <row r="83" customFormat="false" ht="12.75" hidden="false" customHeight="false" outlineLevel="0" collapsed="false">
      <c r="A83" s="97" t="s">
        <v>718</v>
      </c>
      <c r="B83" s="97" t="s">
        <v>905</v>
      </c>
      <c r="C83" s="97" t="s">
        <v>727</v>
      </c>
      <c r="D83" s="97" t="s">
        <v>906</v>
      </c>
      <c r="E83" s="97" t="s">
        <v>907</v>
      </c>
      <c r="F83" s="97" t="n">
        <v>2006</v>
      </c>
      <c r="G83" s="97" t="n">
        <v>26000</v>
      </c>
      <c r="H83" s="97" t="n">
        <v>9600</v>
      </c>
      <c r="I83" s="97" t="s">
        <v>722</v>
      </c>
      <c r="J83" s="99" t="n">
        <v>44768</v>
      </c>
      <c r="K83" s="97" t="s">
        <v>288</v>
      </c>
      <c r="L83" s="97"/>
      <c r="M83" s="97" t="s">
        <v>903</v>
      </c>
      <c r="N83" s="97" t="s">
        <v>290</v>
      </c>
      <c r="O83" s="98" t="e">
        <f aca="false">CO_ORDINATES(N83)</f>
        <v>#VALUE!</v>
      </c>
      <c r="P83" s="97"/>
      <c r="Q83" s="97" t="n">
        <v>1</v>
      </c>
    </row>
    <row r="84" customFormat="false" ht="12.75" hidden="false" customHeight="false" outlineLevel="0" collapsed="false">
      <c r="A84" s="97" t="s">
        <v>718</v>
      </c>
      <c r="B84" s="97" t="s">
        <v>908</v>
      </c>
      <c r="C84" s="97" t="s">
        <v>727</v>
      </c>
      <c r="D84" s="97" t="s">
        <v>806</v>
      </c>
      <c r="E84" s="97" t="s">
        <v>436</v>
      </c>
      <c r="F84" s="97" t="n">
        <v>2007</v>
      </c>
      <c r="G84" s="97" t="n">
        <v>26000</v>
      </c>
      <c r="H84" s="97" t="n">
        <v>8710</v>
      </c>
      <c r="I84" s="97" t="s">
        <v>722</v>
      </c>
      <c r="J84" s="99" t="n">
        <v>44971</v>
      </c>
      <c r="K84" s="97" t="s">
        <v>288</v>
      </c>
      <c r="L84" s="97"/>
      <c r="M84" s="97" t="s">
        <v>903</v>
      </c>
      <c r="N84" s="97" t="s">
        <v>290</v>
      </c>
      <c r="O84" s="98" t="e">
        <f aca="false">CO_ORDINATES(N84)</f>
        <v>#VALUE!</v>
      </c>
      <c r="P84" s="97"/>
      <c r="Q84" s="97" t="n">
        <v>1</v>
      </c>
    </row>
    <row r="85" customFormat="false" ht="12.75" hidden="false" customHeight="false" outlineLevel="0" collapsed="false">
      <c r="A85" s="91" t="s">
        <v>718</v>
      </c>
      <c r="B85" s="91" t="s">
        <v>909</v>
      </c>
      <c r="C85" s="91" t="s">
        <v>727</v>
      </c>
      <c r="D85" s="91" t="s">
        <v>910</v>
      </c>
      <c r="E85" s="91" t="s">
        <v>911</v>
      </c>
      <c r="F85" s="91" t="n">
        <v>2012</v>
      </c>
      <c r="G85" s="91" t="n">
        <v>18000</v>
      </c>
      <c r="H85" s="91" t="n">
        <v>8680</v>
      </c>
      <c r="I85" s="91" t="s">
        <v>722</v>
      </c>
      <c r="J85" s="95" t="n">
        <v>44950</v>
      </c>
      <c r="K85" s="91" t="s">
        <v>288</v>
      </c>
      <c r="L85" s="91" t="s">
        <v>289</v>
      </c>
      <c r="M85" s="91" t="s">
        <v>903</v>
      </c>
      <c r="N85" s="91" t="s">
        <v>290</v>
      </c>
      <c r="O85" s="98" t="e">
        <f aca="false">CO_ORDINATES(N85)</f>
        <v>#VALUE!</v>
      </c>
      <c r="Q85" s="91" t="n">
        <v>1</v>
      </c>
    </row>
    <row r="86" customFormat="false" ht="12.75" hidden="false" customHeight="false" outlineLevel="0" collapsed="false">
      <c r="A86" s="91" t="s">
        <v>718</v>
      </c>
      <c r="B86" s="91" t="s">
        <v>912</v>
      </c>
      <c r="C86" s="91" t="s">
        <v>731</v>
      </c>
      <c r="D86" s="91" t="s">
        <v>913</v>
      </c>
      <c r="E86" s="91" t="s">
        <v>292</v>
      </c>
      <c r="F86" s="91" t="n">
        <v>2006</v>
      </c>
      <c r="G86" s="91" t="n">
        <v>18000</v>
      </c>
      <c r="H86" s="91" t="n">
        <v>7629</v>
      </c>
      <c r="I86" s="91" t="s">
        <v>722</v>
      </c>
      <c r="J86" s="95" t="n">
        <v>44865</v>
      </c>
      <c r="K86" s="91" t="s">
        <v>291</v>
      </c>
      <c r="L86" s="91" t="s">
        <v>292</v>
      </c>
      <c r="M86" s="91" t="s">
        <v>914</v>
      </c>
      <c r="N86" s="91" t="s">
        <v>293</v>
      </c>
      <c r="O86" s="98" t="e">
        <f aca="false">CO_ORDINATES(N86)</f>
        <v>#VALUE!</v>
      </c>
      <c r="Q86" s="91" t="n">
        <v>1</v>
      </c>
    </row>
    <row r="87" s="91" customFormat="true" ht="12.75" hidden="false" customHeight="false" outlineLevel="0" collapsed="false">
      <c r="A87" s="91" t="s">
        <v>718</v>
      </c>
      <c r="B87" s="91" t="s">
        <v>915</v>
      </c>
      <c r="C87" s="91" t="s">
        <v>731</v>
      </c>
      <c r="D87" s="91" t="s">
        <v>763</v>
      </c>
      <c r="E87" s="91" t="s">
        <v>238</v>
      </c>
      <c r="F87" s="91" t="n">
        <v>2005</v>
      </c>
      <c r="G87" s="91" t="n">
        <v>19000</v>
      </c>
      <c r="H87" s="91" t="n">
        <v>7850</v>
      </c>
      <c r="I87" s="91" t="s">
        <v>722</v>
      </c>
      <c r="J87" s="95" t="n">
        <v>44792</v>
      </c>
      <c r="K87" s="91" t="s">
        <v>294</v>
      </c>
      <c r="M87" s="91" t="s">
        <v>916</v>
      </c>
      <c r="N87" s="91" t="s">
        <v>296</v>
      </c>
      <c r="O87" s="96" t="str">
        <f aca="false">CO_ORDINATES(N87)</f>
        <v>55.9179765,26.5815491</v>
      </c>
      <c r="Q87" s="91" t="n">
        <v>1</v>
      </c>
    </row>
    <row r="88" customFormat="false" ht="12.75" hidden="false" customHeight="false" outlineLevel="0" collapsed="false">
      <c r="A88" s="91" t="s">
        <v>718</v>
      </c>
      <c r="C88" s="91" t="s">
        <v>771</v>
      </c>
      <c r="D88" s="91" t="s">
        <v>917</v>
      </c>
      <c r="E88" s="91" t="s">
        <v>918</v>
      </c>
      <c r="F88" s="91" t="n">
        <v>2004</v>
      </c>
      <c r="G88" s="91" t="n">
        <v>18000</v>
      </c>
      <c r="H88" s="91" t="n">
        <v>8010</v>
      </c>
      <c r="I88" s="91" t="s">
        <v>722</v>
      </c>
      <c r="J88" s="95" t="n">
        <v>44749</v>
      </c>
      <c r="K88" s="91" t="s">
        <v>294</v>
      </c>
      <c r="L88" s="91" t="s">
        <v>295</v>
      </c>
      <c r="M88" s="91" t="s">
        <v>916</v>
      </c>
      <c r="N88" s="91" t="s">
        <v>296</v>
      </c>
      <c r="O88" s="96" t="str">
        <f aca="false">CO_ORDINATES(N88)</f>
        <v>55.9179765,26.5815491</v>
      </c>
      <c r="Q88" s="91" t="n">
        <v>1</v>
      </c>
    </row>
    <row r="89" customFormat="false" ht="12.75" hidden="false" customHeight="false" outlineLevel="0" collapsed="false">
      <c r="A89" s="91" t="s">
        <v>718</v>
      </c>
      <c r="B89" s="91" t="s">
        <v>919</v>
      </c>
      <c r="C89" s="91" t="s">
        <v>727</v>
      </c>
      <c r="D89" s="91" t="s">
        <v>920</v>
      </c>
      <c r="E89" s="91" t="s">
        <v>298</v>
      </c>
      <c r="F89" s="91" t="n">
        <v>2012</v>
      </c>
      <c r="G89" s="91" t="n">
        <v>18600</v>
      </c>
      <c r="H89" s="91" t="n">
        <v>8260</v>
      </c>
      <c r="I89" s="91" t="s">
        <v>722</v>
      </c>
      <c r="J89" s="95" t="n">
        <v>44797</v>
      </c>
      <c r="K89" s="91" t="s">
        <v>297</v>
      </c>
      <c r="L89" s="91" t="s">
        <v>298</v>
      </c>
      <c r="M89" s="91" t="s">
        <v>921</v>
      </c>
      <c r="N89" s="91" t="s">
        <v>299</v>
      </c>
      <c r="O89" s="96" t="str">
        <f aca="false">CO_ORDINATES(N89)</f>
        <v>55.86391435,26.58484657668177</v>
      </c>
      <c r="Q89" s="91" t="n">
        <v>1</v>
      </c>
    </row>
    <row r="90" customFormat="false" ht="12.75" hidden="false" customHeight="false" outlineLevel="0" collapsed="false">
      <c r="A90" s="91" t="s">
        <v>718</v>
      </c>
      <c r="B90" s="91" t="s">
        <v>922</v>
      </c>
      <c r="C90" s="91" t="s">
        <v>727</v>
      </c>
      <c r="D90" s="91" t="s">
        <v>786</v>
      </c>
      <c r="E90" s="91" t="s">
        <v>264</v>
      </c>
      <c r="F90" s="91" t="n">
        <v>2008</v>
      </c>
      <c r="G90" s="91" t="n">
        <v>18000</v>
      </c>
      <c r="H90" s="91" t="n">
        <v>8510</v>
      </c>
      <c r="I90" s="91" t="s">
        <v>722</v>
      </c>
      <c r="J90" s="95" t="n">
        <v>44714</v>
      </c>
      <c r="K90" s="91" t="s">
        <v>300</v>
      </c>
      <c r="L90" s="91" t="s">
        <v>264</v>
      </c>
      <c r="M90" s="91" t="s">
        <v>923</v>
      </c>
      <c r="N90" s="91" t="s">
        <v>301</v>
      </c>
      <c r="O90" s="98" t="e">
        <f aca="false">CO_ORDINATES(N90)</f>
        <v>#VALUE!</v>
      </c>
      <c r="Q90" s="91" t="n">
        <v>1</v>
      </c>
    </row>
    <row r="91" s="91" customFormat="true" ht="12.75" hidden="false" customHeight="false" outlineLevel="0" collapsed="false">
      <c r="A91" s="91" t="s">
        <v>718</v>
      </c>
      <c r="B91" s="91" t="s">
        <v>924</v>
      </c>
      <c r="C91" s="91" t="s">
        <v>771</v>
      </c>
      <c r="D91" s="91" t="s">
        <v>925</v>
      </c>
      <c r="E91" s="91" t="s">
        <v>926</v>
      </c>
      <c r="F91" s="91" t="n">
        <v>2021</v>
      </c>
      <c r="G91" s="91" t="n">
        <v>20500</v>
      </c>
      <c r="H91" s="91" t="n">
        <v>8494</v>
      </c>
      <c r="I91" s="91" t="s">
        <v>722</v>
      </c>
      <c r="J91" s="95" t="n">
        <v>44907</v>
      </c>
      <c r="K91" s="91" t="s">
        <v>302</v>
      </c>
      <c r="M91" s="91" t="s">
        <v>927</v>
      </c>
      <c r="N91" s="91" t="s">
        <v>304</v>
      </c>
      <c r="O91" s="98" t="e">
        <f aca="false">CO_ORDINATES(N91)</f>
        <v>#VALUE!</v>
      </c>
      <c r="Q91" s="91" t="n">
        <v>1</v>
      </c>
    </row>
    <row r="92" s="91" customFormat="true" ht="12.75" hidden="false" customHeight="false" outlineLevel="0" collapsed="false">
      <c r="A92" s="91" t="s">
        <v>718</v>
      </c>
      <c r="B92" s="91" t="s">
        <v>928</v>
      </c>
      <c r="C92" s="91" t="s">
        <v>771</v>
      </c>
      <c r="D92" s="91" t="s">
        <v>929</v>
      </c>
      <c r="E92" s="91" t="s">
        <v>930</v>
      </c>
      <c r="F92" s="91" t="n">
        <v>2004</v>
      </c>
      <c r="G92" s="91" t="n">
        <v>18000</v>
      </c>
      <c r="H92" s="91" t="n">
        <v>7400</v>
      </c>
      <c r="I92" s="91" t="s">
        <v>722</v>
      </c>
      <c r="J92" s="95" t="n">
        <v>44791</v>
      </c>
      <c r="K92" s="91" t="s">
        <v>302</v>
      </c>
      <c r="M92" s="91" t="s">
        <v>927</v>
      </c>
      <c r="N92" s="91" t="s">
        <v>304</v>
      </c>
      <c r="O92" s="98" t="e">
        <f aca="false">CO_ORDINATES(N92)</f>
        <v>#VALUE!</v>
      </c>
      <c r="Q92" s="91" t="n">
        <v>1</v>
      </c>
    </row>
    <row r="93" customFormat="false" ht="12.75" hidden="false" customHeight="false" outlineLevel="0" collapsed="false">
      <c r="A93" s="91" t="s">
        <v>718</v>
      </c>
      <c r="B93" s="91" t="s">
        <v>931</v>
      </c>
      <c r="C93" s="91" t="s">
        <v>771</v>
      </c>
      <c r="D93" s="91" t="s">
        <v>925</v>
      </c>
      <c r="E93" s="91" t="s">
        <v>926</v>
      </c>
      <c r="F93" s="91" t="n">
        <v>2019</v>
      </c>
      <c r="G93" s="91" t="n">
        <v>18000</v>
      </c>
      <c r="H93" s="91" t="n">
        <v>7756</v>
      </c>
      <c r="I93" s="91" t="s">
        <v>722</v>
      </c>
      <c r="J93" s="95" t="n">
        <v>44741</v>
      </c>
      <c r="K93" s="91" t="s">
        <v>302</v>
      </c>
      <c r="L93" s="91" t="s">
        <v>303</v>
      </c>
      <c r="M93" s="91" t="s">
        <v>927</v>
      </c>
      <c r="N93" s="91" t="s">
        <v>304</v>
      </c>
      <c r="O93" s="98" t="e">
        <f aca="false">CO_ORDINATES(N93)</f>
        <v>#VALUE!</v>
      </c>
      <c r="Q93" s="91" t="n">
        <v>1</v>
      </c>
    </row>
    <row r="94" s="91" customFormat="true" ht="12.75" hidden="false" customHeight="false" outlineLevel="0" collapsed="false">
      <c r="A94" s="91" t="s">
        <v>718</v>
      </c>
      <c r="B94" s="91" t="s">
        <v>932</v>
      </c>
      <c r="C94" s="91" t="s">
        <v>933</v>
      </c>
      <c r="D94" s="91" t="s">
        <v>934</v>
      </c>
      <c r="E94" s="91" t="s">
        <v>935</v>
      </c>
      <c r="F94" s="91" t="n">
        <v>2008</v>
      </c>
      <c r="G94" s="91" t="n">
        <v>18000</v>
      </c>
      <c r="H94" s="91" t="n">
        <v>7255</v>
      </c>
      <c r="I94" s="91" t="s">
        <v>722</v>
      </c>
      <c r="J94" s="95" t="n">
        <v>45014</v>
      </c>
      <c r="K94" s="91" t="s">
        <v>305</v>
      </c>
      <c r="M94" s="91" t="s">
        <v>936</v>
      </c>
      <c r="N94" s="91" t="s">
        <v>307</v>
      </c>
      <c r="O94" s="98" t="e">
        <f aca="false">CO_ORDINATES(N94)</f>
        <v>#VALUE!</v>
      </c>
      <c r="Q94" s="91" t="n">
        <v>1</v>
      </c>
    </row>
    <row r="95" customFormat="false" ht="12.75" hidden="false" customHeight="false" outlineLevel="0" collapsed="false">
      <c r="A95" s="91" t="s">
        <v>718</v>
      </c>
      <c r="B95" s="91" t="s">
        <v>937</v>
      </c>
      <c r="C95" s="91" t="s">
        <v>771</v>
      </c>
      <c r="D95" s="91" t="s">
        <v>938</v>
      </c>
      <c r="E95" s="91" t="s">
        <v>524</v>
      </c>
      <c r="F95" s="91" t="n">
        <v>2004</v>
      </c>
      <c r="G95" s="91" t="n">
        <v>18000</v>
      </c>
      <c r="H95" s="91" t="n">
        <v>7400</v>
      </c>
      <c r="I95" s="91" t="s">
        <v>722</v>
      </c>
      <c r="J95" s="95" t="n">
        <v>44771</v>
      </c>
      <c r="K95" s="91" t="s">
        <v>305</v>
      </c>
      <c r="L95" s="91" t="s">
        <v>306</v>
      </c>
      <c r="M95" s="91" t="s">
        <v>936</v>
      </c>
      <c r="N95" s="91" t="s">
        <v>939</v>
      </c>
      <c r="O95" s="98" t="e">
        <f aca="false">CO_ORDINATES(N95)</f>
        <v>#VALUE!</v>
      </c>
      <c r="Q95" s="91" t="n">
        <v>1</v>
      </c>
    </row>
    <row r="96" s="91" customFormat="true" ht="12.75" hidden="false" customHeight="false" outlineLevel="0" collapsed="false">
      <c r="A96" s="91" t="s">
        <v>718</v>
      </c>
      <c r="B96" s="91" t="s">
        <v>940</v>
      </c>
      <c r="C96" s="91" t="s">
        <v>748</v>
      </c>
      <c r="D96" s="91" t="s">
        <v>749</v>
      </c>
      <c r="E96" s="91" t="s">
        <v>354</v>
      </c>
      <c r="F96" s="91" t="n">
        <v>2017</v>
      </c>
      <c r="G96" s="91" t="n">
        <v>19000</v>
      </c>
      <c r="H96" s="91" t="n">
        <v>7978</v>
      </c>
      <c r="I96" s="91" t="s">
        <v>722</v>
      </c>
      <c r="J96" s="95" t="n">
        <v>45041</v>
      </c>
      <c r="K96" s="91" t="s">
        <v>308</v>
      </c>
      <c r="M96" s="91" t="s">
        <v>941</v>
      </c>
      <c r="N96" s="91" t="s">
        <v>310</v>
      </c>
      <c r="O96" s="96" t="str">
        <f aca="false">CO_ORDINATES(N96)</f>
        <v>55.8716291,26.5217332</v>
      </c>
      <c r="Q96" s="91" t="n">
        <v>1</v>
      </c>
    </row>
    <row r="97" s="91" customFormat="true" ht="12.75" hidden="false" customHeight="false" outlineLevel="0" collapsed="false">
      <c r="A97" s="91" t="s">
        <v>718</v>
      </c>
      <c r="B97" s="91" t="s">
        <v>942</v>
      </c>
      <c r="C97" s="91" t="s">
        <v>748</v>
      </c>
      <c r="D97" s="91" t="s">
        <v>749</v>
      </c>
      <c r="E97" s="91" t="s">
        <v>354</v>
      </c>
      <c r="F97" s="91" t="n">
        <v>2016</v>
      </c>
      <c r="G97" s="91" t="n">
        <v>18000</v>
      </c>
      <c r="H97" s="91" t="n">
        <v>7859</v>
      </c>
      <c r="I97" s="91" t="s">
        <v>722</v>
      </c>
      <c r="J97" s="95" t="n">
        <v>44925</v>
      </c>
      <c r="K97" s="91" t="s">
        <v>308</v>
      </c>
      <c r="M97" s="91" t="s">
        <v>941</v>
      </c>
      <c r="N97" s="91" t="s">
        <v>310</v>
      </c>
      <c r="O97" s="96" t="str">
        <f aca="false">CO_ORDINATES(N97)</f>
        <v>55.8716291,26.5217332</v>
      </c>
      <c r="Q97" s="91" t="n">
        <v>1</v>
      </c>
    </row>
    <row r="98" s="91" customFormat="true" ht="12.75" hidden="false" customHeight="false" outlineLevel="0" collapsed="false">
      <c r="A98" s="91" t="s">
        <v>718</v>
      </c>
      <c r="B98" s="91" t="s">
        <v>943</v>
      </c>
      <c r="C98" s="91" t="s">
        <v>748</v>
      </c>
      <c r="D98" s="91" t="s">
        <v>749</v>
      </c>
      <c r="E98" s="91" t="s">
        <v>354</v>
      </c>
      <c r="F98" s="91" t="n">
        <v>2017</v>
      </c>
      <c r="G98" s="91" t="n">
        <v>18000</v>
      </c>
      <c r="H98" s="91" t="n">
        <v>8315</v>
      </c>
      <c r="I98" s="91" t="s">
        <v>722</v>
      </c>
      <c r="J98" s="95" t="n">
        <v>45006</v>
      </c>
      <c r="K98" s="91" t="s">
        <v>308</v>
      </c>
      <c r="M98" s="91" t="s">
        <v>941</v>
      </c>
      <c r="N98" s="91" t="s">
        <v>310</v>
      </c>
      <c r="O98" s="96" t="str">
        <f aca="false">CO_ORDINATES(N98)</f>
        <v>55.8716291,26.5217332</v>
      </c>
      <c r="Q98" s="91" t="n">
        <v>1</v>
      </c>
    </row>
    <row r="99" customFormat="false" ht="12.75" hidden="false" customHeight="false" outlineLevel="0" collapsed="false">
      <c r="A99" s="91" t="s">
        <v>718</v>
      </c>
      <c r="B99" s="91" t="s">
        <v>944</v>
      </c>
      <c r="C99" s="91" t="s">
        <v>748</v>
      </c>
      <c r="D99" s="91" t="s">
        <v>749</v>
      </c>
      <c r="E99" s="91" t="s">
        <v>354</v>
      </c>
      <c r="F99" s="91" t="n">
        <v>2018</v>
      </c>
      <c r="G99" s="91" t="n">
        <v>18000</v>
      </c>
      <c r="H99" s="91" t="n">
        <v>8421</v>
      </c>
      <c r="I99" s="91" t="s">
        <v>722</v>
      </c>
      <c r="J99" s="95" t="n">
        <v>45041</v>
      </c>
      <c r="K99" s="91" t="s">
        <v>308</v>
      </c>
      <c r="L99" s="91" t="s">
        <v>945</v>
      </c>
      <c r="M99" s="91" t="s">
        <v>941</v>
      </c>
      <c r="N99" s="91" t="s">
        <v>310</v>
      </c>
      <c r="O99" s="96" t="str">
        <f aca="false">CO_ORDINATES(N99)</f>
        <v>55.8716291,26.5217332</v>
      </c>
      <c r="Q99" s="91" t="n">
        <v>1</v>
      </c>
    </row>
    <row r="100" customFormat="false" ht="12.75" hidden="false" customHeight="false" outlineLevel="0" collapsed="false">
      <c r="A100" s="97" t="s">
        <v>718</v>
      </c>
      <c r="B100" s="97" t="s">
        <v>946</v>
      </c>
      <c r="C100" s="97" t="s">
        <v>727</v>
      </c>
      <c r="D100" s="97" t="s">
        <v>947</v>
      </c>
      <c r="E100" s="97" t="s">
        <v>948</v>
      </c>
      <c r="F100" s="97" t="n">
        <v>2007</v>
      </c>
      <c r="G100" s="97" t="n">
        <v>27000</v>
      </c>
      <c r="H100" s="97" t="n">
        <v>9900</v>
      </c>
      <c r="I100" s="97" t="s">
        <v>722</v>
      </c>
      <c r="J100" s="99" t="n">
        <v>44959</v>
      </c>
      <c r="K100" s="97" t="s">
        <v>311</v>
      </c>
      <c r="L100" s="97"/>
      <c r="M100" s="97" t="s">
        <v>949</v>
      </c>
      <c r="N100" s="97" t="s">
        <v>313</v>
      </c>
      <c r="O100" s="96" t="str">
        <f aca="false">CO_ORDINATES(N100)</f>
        <v>55.974994800000005,26.27725261034338</v>
      </c>
      <c r="P100" s="97"/>
      <c r="Q100" s="97" t="n">
        <v>1</v>
      </c>
    </row>
    <row r="101" customFormat="false" ht="12.75" hidden="false" customHeight="false" outlineLevel="0" collapsed="false">
      <c r="A101" s="91" t="s">
        <v>718</v>
      </c>
      <c r="B101" s="91" t="s">
        <v>950</v>
      </c>
      <c r="C101" s="91" t="s">
        <v>731</v>
      </c>
      <c r="D101" s="91" t="s">
        <v>763</v>
      </c>
      <c r="E101" s="91" t="s">
        <v>238</v>
      </c>
      <c r="F101" s="91" t="n">
        <v>1996</v>
      </c>
      <c r="G101" s="91" t="n">
        <v>18000</v>
      </c>
      <c r="H101" s="91" t="n">
        <v>7559</v>
      </c>
      <c r="I101" s="91" t="s">
        <v>868</v>
      </c>
      <c r="J101" s="95" t="n">
        <v>44733</v>
      </c>
      <c r="K101" s="91" t="s">
        <v>311</v>
      </c>
      <c r="L101" s="91" t="s">
        <v>312</v>
      </c>
      <c r="M101" s="91" t="s">
        <v>949</v>
      </c>
      <c r="N101" s="91" t="s">
        <v>951</v>
      </c>
      <c r="O101" s="98" t="e">
        <f aca="false">CO_ORDINATES(N101)</f>
        <v>#VALUE!</v>
      </c>
      <c r="Q101" s="91" t="n">
        <v>1</v>
      </c>
    </row>
    <row r="102" s="91" customFormat="true" ht="12.75" hidden="false" customHeight="false" outlineLevel="0" collapsed="false">
      <c r="A102" s="91" t="s">
        <v>718</v>
      </c>
      <c r="B102" s="91" t="s">
        <v>952</v>
      </c>
      <c r="C102" s="91" t="s">
        <v>720</v>
      </c>
      <c r="D102" s="91" t="s">
        <v>738</v>
      </c>
      <c r="E102" s="91" t="s">
        <v>206</v>
      </c>
      <c r="F102" s="91" t="n">
        <v>2011</v>
      </c>
      <c r="G102" s="91" t="n">
        <v>19000</v>
      </c>
      <c r="H102" s="91" t="n">
        <v>8274</v>
      </c>
      <c r="I102" s="91" t="s">
        <v>722</v>
      </c>
      <c r="J102" s="95" t="n">
        <v>44837</v>
      </c>
      <c r="K102" s="91" t="s">
        <v>314</v>
      </c>
      <c r="M102" s="91" t="s">
        <v>953</v>
      </c>
      <c r="N102" s="91" t="s">
        <v>316</v>
      </c>
      <c r="O102" s="96" t="str">
        <f aca="false">CO_ORDINATES(N102)</f>
        <v>55.8672079,26.5963676</v>
      </c>
      <c r="Q102" s="91" t="n">
        <v>1</v>
      </c>
    </row>
    <row r="103" s="91" customFormat="true" ht="12.75" hidden="false" customHeight="false" outlineLevel="0" collapsed="false">
      <c r="A103" s="91" t="s">
        <v>718</v>
      </c>
      <c r="B103" s="91" t="s">
        <v>954</v>
      </c>
      <c r="C103" s="91" t="s">
        <v>720</v>
      </c>
      <c r="D103" s="91" t="s">
        <v>738</v>
      </c>
      <c r="E103" s="91" t="s">
        <v>206</v>
      </c>
      <c r="F103" s="91" t="n">
        <v>2011</v>
      </c>
      <c r="G103" s="91" t="n">
        <v>19000</v>
      </c>
      <c r="H103" s="91" t="n">
        <v>8620</v>
      </c>
      <c r="I103" s="91" t="s">
        <v>722</v>
      </c>
      <c r="J103" s="95" t="n">
        <v>44964</v>
      </c>
      <c r="K103" s="91" t="s">
        <v>314</v>
      </c>
      <c r="M103" s="91" t="s">
        <v>953</v>
      </c>
      <c r="N103" s="91" t="s">
        <v>316</v>
      </c>
      <c r="O103" s="96" t="str">
        <f aca="false">CO_ORDINATES(N103)</f>
        <v>55.8672079,26.5963676</v>
      </c>
      <c r="Q103" s="91" t="n">
        <v>1</v>
      </c>
    </row>
    <row r="104" customFormat="false" ht="12.75" hidden="false" customHeight="false" outlineLevel="0" collapsed="false">
      <c r="A104" s="91" t="s">
        <v>718</v>
      </c>
      <c r="B104" s="91" t="s">
        <v>955</v>
      </c>
      <c r="C104" s="91" t="s">
        <v>748</v>
      </c>
      <c r="D104" s="91" t="s">
        <v>749</v>
      </c>
      <c r="E104" s="91" t="s">
        <v>354</v>
      </c>
      <c r="F104" s="91" t="n">
        <v>2015</v>
      </c>
      <c r="G104" s="91" t="n">
        <v>18000</v>
      </c>
      <c r="H104" s="91" t="n">
        <v>8420</v>
      </c>
      <c r="I104" s="91" t="s">
        <v>722</v>
      </c>
      <c r="J104" s="95" t="n">
        <v>44888</v>
      </c>
      <c r="K104" s="91" t="s">
        <v>314</v>
      </c>
      <c r="L104" s="91" t="s">
        <v>315</v>
      </c>
      <c r="M104" s="91" t="s">
        <v>953</v>
      </c>
      <c r="N104" s="91" t="s">
        <v>316</v>
      </c>
      <c r="O104" s="96" t="str">
        <f aca="false">CO_ORDINATES(N104)</f>
        <v>55.8672079,26.5963676</v>
      </c>
      <c r="Q104" s="91" t="n">
        <v>1</v>
      </c>
    </row>
    <row r="105" s="91" customFormat="true" ht="12.75" hidden="false" customHeight="false" outlineLevel="0" collapsed="false">
      <c r="A105" s="91" t="s">
        <v>718</v>
      </c>
      <c r="B105" s="91" t="s">
        <v>956</v>
      </c>
      <c r="C105" s="91" t="s">
        <v>727</v>
      </c>
      <c r="D105" s="91" t="s">
        <v>786</v>
      </c>
      <c r="E105" s="91" t="s">
        <v>264</v>
      </c>
      <c r="F105" s="91" t="n">
        <v>2006</v>
      </c>
      <c r="G105" s="91" t="n">
        <v>19000</v>
      </c>
      <c r="H105" s="91" t="n">
        <v>8400</v>
      </c>
      <c r="I105" s="91" t="s">
        <v>722</v>
      </c>
      <c r="J105" s="95" t="n">
        <v>44985</v>
      </c>
      <c r="K105" s="91" t="s">
        <v>317</v>
      </c>
      <c r="M105" s="91" t="s">
        <v>957</v>
      </c>
      <c r="N105" s="91" t="s">
        <v>319</v>
      </c>
      <c r="O105" s="96" t="str">
        <f aca="false">CO_ORDINATES(N105)</f>
        <v>55.877525,26.5341074</v>
      </c>
      <c r="Q105" s="91" t="n">
        <v>1</v>
      </c>
    </row>
    <row r="106" customFormat="false" ht="12.75" hidden="false" customHeight="false" outlineLevel="0" collapsed="false">
      <c r="A106" s="91" t="s">
        <v>718</v>
      </c>
      <c r="B106" s="91" t="s">
        <v>958</v>
      </c>
      <c r="C106" s="91" t="s">
        <v>727</v>
      </c>
      <c r="D106" s="91" t="s">
        <v>766</v>
      </c>
      <c r="E106" s="91" t="s">
        <v>767</v>
      </c>
      <c r="F106" s="91" t="n">
        <v>2003</v>
      </c>
      <c r="G106" s="91" t="n">
        <v>18000</v>
      </c>
      <c r="H106" s="91" t="n">
        <v>7750</v>
      </c>
      <c r="I106" s="91" t="s">
        <v>722</v>
      </c>
      <c r="J106" s="95" t="n">
        <v>45028</v>
      </c>
      <c r="K106" s="91" t="s">
        <v>317</v>
      </c>
      <c r="L106" s="91" t="s">
        <v>318</v>
      </c>
      <c r="M106" s="91" t="s">
        <v>957</v>
      </c>
      <c r="N106" s="91" t="s">
        <v>319</v>
      </c>
      <c r="O106" s="96" t="str">
        <f aca="false">CO_ORDINATES(N106)</f>
        <v>55.877525,26.5341074</v>
      </c>
      <c r="Q106" s="91" t="n">
        <v>1</v>
      </c>
    </row>
    <row r="107" s="91" customFormat="true" ht="12.75" hidden="false" customHeight="false" outlineLevel="0" collapsed="false">
      <c r="A107" s="91" t="s">
        <v>718</v>
      </c>
      <c r="B107" s="91" t="s">
        <v>959</v>
      </c>
      <c r="C107" s="91" t="s">
        <v>933</v>
      </c>
      <c r="D107" s="91" t="s">
        <v>960</v>
      </c>
      <c r="E107" s="91" t="s">
        <v>961</v>
      </c>
      <c r="F107" s="91" t="n">
        <v>2006</v>
      </c>
      <c r="G107" s="91" t="n">
        <v>19000</v>
      </c>
      <c r="H107" s="91" t="n">
        <v>7805</v>
      </c>
      <c r="I107" s="91" t="s">
        <v>722</v>
      </c>
      <c r="J107" s="95" t="n">
        <v>44771</v>
      </c>
      <c r="K107" s="91" t="s">
        <v>320</v>
      </c>
      <c r="M107" s="91" t="s">
        <v>962</v>
      </c>
      <c r="N107" s="91" t="s">
        <v>322</v>
      </c>
      <c r="O107" s="98" t="e">
        <f aca="false">CO_ORDINATES(N107)</f>
        <v>#VALUE!</v>
      </c>
      <c r="Q107" s="91" t="n">
        <v>1</v>
      </c>
    </row>
    <row r="108" s="91" customFormat="true" ht="12.75" hidden="false" customHeight="false" outlineLevel="0" collapsed="false">
      <c r="A108" s="91" t="s">
        <v>718</v>
      </c>
      <c r="B108" s="91" t="s">
        <v>963</v>
      </c>
      <c r="C108" s="91" t="s">
        <v>933</v>
      </c>
      <c r="D108" s="91" t="s">
        <v>960</v>
      </c>
      <c r="E108" s="91" t="s">
        <v>961</v>
      </c>
      <c r="F108" s="91" t="n">
        <v>2006</v>
      </c>
      <c r="G108" s="91" t="n">
        <v>19000</v>
      </c>
      <c r="H108" s="91" t="n">
        <v>7500</v>
      </c>
      <c r="I108" s="91" t="s">
        <v>722</v>
      </c>
      <c r="J108" s="95" t="n">
        <v>45057</v>
      </c>
      <c r="K108" s="91" t="s">
        <v>320</v>
      </c>
      <c r="M108" s="91" t="s">
        <v>962</v>
      </c>
      <c r="N108" s="91" t="s">
        <v>322</v>
      </c>
      <c r="O108" s="98" t="e">
        <f aca="false">CO_ORDINATES(N108)</f>
        <v>#VALUE!</v>
      </c>
      <c r="Q108" s="91" t="n">
        <v>1</v>
      </c>
    </row>
    <row r="109" customFormat="false" ht="12.75" hidden="false" customHeight="false" outlineLevel="0" collapsed="false">
      <c r="A109" s="91" t="s">
        <v>718</v>
      </c>
      <c r="B109" s="91" t="s">
        <v>964</v>
      </c>
      <c r="C109" s="91" t="s">
        <v>933</v>
      </c>
      <c r="D109" s="91" t="s">
        <v>965</v>
      </c>
      <c r="E109" s="91" t="s">
        <v>966</v>
      </c>
      <c r="F109" s="91" t="n">
        <v>2006</v>
      </c>
      <c r="G109" s="91" t="n">
        <v>18000</v>
      </c>
      <c r="H109" s="91" t="n">
        <v>7950</v>
      </c>
      <c r="I109" s="91" t="s">
        <v>722</v>
      </c>
      <c r="J109" s="95" t="n">
        <v>44931</v>
      </c>
      <c r="K109" s="91" t="s">
        <v>320</v>
      </c>
      <c r="L109" s="91" t="s">
        <v>321</v>
      </c>
      <c r="M109" s="91" t="s">
        <v>962</v>
      </c>
      <c r="N109" s="91" t="s">
        <v>322</v>
      </c>
      <c r="O109" s="98" t="e">
        <f aca="false">CO_ORDINATES(N109)</f>
        <v>#VALUE!</v>
      </c>
      <c r="Q109" s="91" t="n">
        <v>1</v>
      </c>
    </row>
    <row r="110" s="91" customFormat="true" ht="12.75" hidden="false" customHeight="false" outlineLevel="0" collapsed="false">
      <c r="A110" s="91" t="s">
        <v>718</v>
      </c>
      <c r="B110" s="91" t="s">
        <v>967</v>
      </c>
      <c r="C110" s="91" t="s">
        <v>968</v>
      </c>
      <c r="D110" s="91" t="s">
        <v>969</v>
      </c>
      <c r="E110" s="91" t="s">
        <v>519</v>
      </c>
      <c r="F110" s="91" t="n">
        <v>2005</v>
      </c>
      <c r="G110" s="91" t="n">
        <v>19000</v>
      </c>
      <c r="H110" s="91" t="n">
        <v>8075</v>
      </c>
      <c r="I110" s="91" t="s">
        <v>722</v>
      </c>
      <c r="J110" s="95" t="n">
        <v>44769</v>
      </c>
      <c r="K110" s="91" t="s">
        <v>323</v>
      </c>
      <c r="M110" s="91" t="s">
        <v>970</v>
      </c>
      <c r="N110" s="91" t="s">
        <v>325</v>
      </c>
      <c r="O110" s="96" t="str">
        <f aca="false">CO_ORDINATES(N110)</f>
        <v>55.8766561,26.557765</v>
      </c>
      <c r="Q110" s="91" t="n">
        <v>1</v>
      </c>
    </row>
    <row r="111" s="91" customFormat="true" ht="12.75" hidden="false" customHeight="false" outlineLevel="0" collapsed="false">
      <c r="A111" s="91" t="s">
        <v>718</v>
      </c>
      <c r="B111" s="91" t="s">
        <v>971</v>
      </c>
      <c r="C111" s="91" t="s">
        <v>968</v>
      </c>
      <c r="D111" s="91" t="s">
        <v>969</v>
      </c>
      <c r="E111" s="91" t="s">
        <v>519</v>
      </c>
      <c r="F111" s="91" t="n">
        <v>2004</v>
      </c>
      <c r="G111" s="91" t="n">
        <v>19000</v>
      </c>
      <c r="H111" s="91" t="n">
        <v>7958</v>
      </c>
      <c r="I111" s="91" t="s">
        <v>745</v>
      </c>
      <c r="J111" s="95" t="n">
        <v>44811</v>
      </c>
      <c r="K111" s="91" t="s">
        <v>323</v>
      </c>
      <c r="M111" s="91" t="s">
        <v>970</v>
      </c>
      <c r="N111" s="91" t="s">
        <v>325</v>
      </c>
      <c r="O111" s="96" t="str">
        <f aca="false">CO_ORDINATES(N111)</f>
        <v>55.8766561,26.557765</v>
      </c>
      <c r="Q111" s="91" t="n">
        <v>1</v>
      </c>
    </row>
    <row r="112" s="91" customFormat="true" ht="12.75" hidden="false" customHeight="false" outlineLevel="0" collapsed="false">
      <c r="A112" s="91" t="s">
        <v>718</v>
      </c>
      <c r="B112" s="91" t="s">
        <v>972</v>
      </c>
      <c r="C112" s="91" t="s">
        <v>968</v>
      </c>
      <c r="D112" s="91" t="s">
        <v>969</v>
      </c>
      <c r="E112" s="91" t="s">
        <v>519</v>
      </c>
      <c r="F112" s="91" t="n">
        <v>2006</v>
      </c>
      <c r="G112" s="91" t="n">
        <v>19000</v>
      </c>
      <c r="H112" s="91" t="n">
        <v>7688</v>
      </c>
      <c r="I112" s="91" t="s">
        <v>722</v>
      </c>
      <c r="J112" s="95" t="n">
        <v>44903</v>
      </c>
      <c r="K112" s="91" t="s">
        <v>323</v>
      </c>
      <c r="M112" s="91" t="s">
        <v>970</v>
      </c>
      <c r="N112" s="91" t="s">
        <v>325</v>
      </c>
      <c r="O112" s="96" t="str">
        <f aca="false">CO_ORDINATES(N112)</f>
        <v>55.8766561,26.557765</v>
      </c>
      <c r="Q112" s="91" t="n">
        <v>1</v>
      </c>
    </row>
    <row r="113" s="91" customFormat="true" ht="12.75" hidden="false" customHeight="false" outlineLevel="0" collapsed="false">
      <c r="A113" s="91" t="s">
        <v>718</v>
      </c>
      <c r="B113" s="91" t="s">
        <v>973</v>
      </c>
      <c r="C113" s="91" t="s">
        <v>968</v>
      </c>
      <c r="D113" s="91" t="s">
        <v>969</v>
      </c>
      <c r="E113" s="91" t="s">
        <v>519</v>
      </c>
      <c r="F113" s="91" t="n">
        <v>2006</v>
      </c>
      <c r="G113" s="91" t="n">
        <v>19000</v>
      </c>
      <c r="H113" s="91" t="n">
        <v>7300</v>
      </c>
      <c r="I113" s="91" t="s">
        <v>722</v>
      </c>
      <c r="J113" s="95" t="n">
        <v>44999</v>
      </c>
      <c r="K113" s="91" t="s">
        <v>323</v>
      </c>
      <c r="M113" s="91" t="s">
        <v>970</v>
      </c>
      <c r="N113" s="91" t="s">
        <v>325</v>
      </c>
      <c r="O113" s="96" t="str">
        <f aca="false">CO_ORDINATES(N113)</f>
        <v>55.8766561,26.557765</v>
      </c>
      <c r="Q113" s="91" t="n">
        <v>1</v>
      </c>
    </row>
    <row r="114" s="91" customFormat="true" ht="12.75" hidden="false" customHeight="false" outlineLevel="0" collapsed="false">
      <c r="A114" s="91" t="s">
        <v>718</v>
      </c>
      <c r="B114" s="91" t="s">
        <v>974</v>
      </c>
      <c r="C114" s="91" t="s">
        <v>968</v>
      </c>
      <c r="D114" s="91" t="s">
        <v>969</v>
      </c>
      <c r="E114" s="91" t="s">
        <v>519</v>
      </c>
      <c r="F114" s="91" t="n">
        <v>2005</v>
      </c>
      <c r="G114" s="91" t="n">
        <v>19000</v>
      </c>
      <c r="H114" s="91" t="n">
        <v>8325</v>
      </c>
      <c r="I114" s="91" t="s">
        <v>722</v>
      </c>
      <c r="J114" s="95" t="n">
        <v>45009</v>
      </c>
      <c r="K114" s="91" t="s">
        <v>323</v>
      </c>
      <c r="M114" s="91" t="s">
        <v>970</v>
      </c>
      <c r="N114" s="91" t="s">
        <v>325</v>
      </c>
      <c r="O114" s="96" t="str">
        <f aca="false">CO_ORDINATES(N114)</f>
        <v>55.8766561,26.557765</v>
      </c>
      <c r="Q114" s="91" t="n">
        <v>1</v>
      </c>
    </row>
    <row r="115" customFormat="false" ht="12.75" hidden="false" customHeight="false" outlineLevel="0" collapsed="false">
      <c r="A115" s="91" t="s">
        <v>718</v>
      </c>
      <c r="B115" s="91" t="s">
        <v>975</v>
      </c>
      <c r="C115" s="91" t="s">
        <v>968</v>
      </c>
      <c r="D115" s="91" t="s">
        <v>969</v>
      </c>
      <c r="E115" s="91" t="s">
        <v>519</v>
      </c>
      <c r="F115" s="91" t="n">
        <v>2005</v>
      </c>
      <c r="G115" s="91" t="n">
        <v>18000</v>
      </c>
      <c r="H115" s="91" t="n">
        <v>8380</v>
      </c>
      <c r="I115" s="91" t="s">
        <v>722</v>
      </c>
      <c r="J115" s="95" t="n">
        <v>44711</v>
      </c>
      <c r="K115" s="91" t="s">
        <v>323</v>
      </c>
      <c r="L115" s="91" t="s">
        <v>976</v>
      </c>
      <c r="M115" s="91" t="s">
        <v>970</v>
      </c>
      <c r="N115" s="91" t="s">
        <v>325</v>
      </c>
      <c r="O115" s="96" t="str">
        <f aca="false">CO_ORDINATES(N115)</f>
        <v>55.8766561,26.557765</v>
      </c>
      <c r="Q115" s="91" t="n">
        <v>1</v>
      </c>
    </row>
    <row r="116" s="91" customFormat="true" ht="12.75" hidden="false" customHeight="false" outlineLevel="0" collapsed="false">
      <c r="A116" s="91" t="s">
        <v>718</v>
      </c>
      <c r="B116" s="91" t="s">
        <v>977</v>
      </c>
      <c r="C116" s="91" t="s">
        <v>720</v>
      </c>
      <c r="D116" s="91" t="s">
        <v>801</v>
      </c>
      <c r="E116" s="91" t="s">
        <v>348</v>
      </c>
      <c r="F116" s="91" t="n">
        <v>2013</v>
      </c>
      <c r="G116" s="91" t="n">
        <v>19500</v>
      </c>
      <c r="H116" s="91" t="n">
        <v>8632</v>
      </c>
      <c r="I116" s="91" t="s">
        <v>722</v>
      </c>
      <c r="J116" s="95" t="n">
        <v>44725</v>
      </c>
      <c r="K116" s="91" t="s">
        <v>326</v>
      </c>
      <c r="M116" s="91" t="s">
        <v>978</v>
      </c>
      <c r="N116" s="91" t="s">
        <v>328</v>
      </c>
      <c r="O116" s="96" t="str">
        <f aca="false">CO_ORDINATES(N116)</f>
        <v>55.8649751,26.535942</v>
      </c>
      <c r="Q116" s="91" t="n">
        <v>1</v>
      </c>
    </row>
    <row r="117" s="91" customFormat="true" ht="12.75" hidden="false" customHeight="false" outlineLevel="0" collapsed="false">
      <c r="A117" s="91" t="s">
        <v>718</v>
      </c>
      <c r="B117" s="91" t="s">
        <v>979</v>
      </c>
      <c r="C117" s="91" t="s">
        <v>720</v>
      </c>
      <c r="D117" s="91" t="s">
        <v>801</v>
      </c>
      <c r="E117" s="91" t="s">
        <v>348</v>
      </c>
      <c r="F117" s="91" t="n">
        <v>2013</v>
      </c>
      <c r="G117" s="91" t="n">
        <v>19500</v>
      </c>
      <c r="H117" s="91" t="n">
        <v>8679</v>
      </c>
      <c r="I117" s="91" t="s">
        <v>722</v>
      </c>
      <c r="J117" s="95" t="n">
        <v>45058</v>
      </c>
      <c r="K117" s="91" t="s">
        <v>326</v>
      </c>
      <c r="M117" s="91" t="s">
        <v>978</v>
      </c>
      <c r="N117" s="91" t="s">
        <v>328</v>
      </c>
      <c r="O117" s="96" t="str">
        <f aca="false">CO_ORDINATES(N117)</f>
        <v>55.8649751,26.535942</v>
      </c>
      <c r="Q117" s="91" t="n">
        <v>1</v>
      </c>
    </row>
    <row r="118" s="91" customFormat="true" ht="12.75" hidden="false" customHeight="false" outlineLevel="0" collapsed="false">
      <c r="A118" s="91" t="s">
        <v>718</v>
      </c>
      <c r="B118" s="91" t="s">
        <v>980</v>
      </c>
      <c r="C118" s="91" t="s">
        <v>720</v>
      </c>
      <c r="D118" s="91" t="s">
        <v>801</v>
      </c>
      <c r="E118" s="91" t="s">
        <v>348</v>
      </c>
      <c r="F118" s="91" t="n">
        <v>2013</v>
      </c>
      <c r="G118" s="91" t="n">
        <v>19500</v>
      </c>
      <c r="H118" s="91" t="n">
        <v>8614</v>
      </c>
      <c r="I118" s="91" t="s">
        <v>722</v>
      </c>
      <c r="J118" s="95" t="n">
        <v>45065</v>
      </c>
      <c r="K118" s="91" t="s">
        <v>326</v>
      </c>
      <c r="M118" s="91" t="s">
        <v>978</v>
      </c>
      <c r="N118" s="91" t="s">
        <v>328</v>
      </c>
      <c r="O118" s="96" t="str">
        <f aca="false">CO_ORDINATES(N118)</f>
        <v>55.8649751,26.535942</v>
      </c>
      <c r="Q118" s="91" t="n">
        <v>1</v>
      </c>
    </row>
    <row r="119" s="91" customFormat="true" ht="12.75" hidden="false" customHeight="false" outlineLevel="0" collapsed="false">
      <c r="A119" s="91" t="s">
        <v>718</v>
      </c>
      <c r="B119" s="91" t="s">
        <v>981</v>
      </c>
      <c r="C119" s="91" t="s">
        <v>720</v>
      </c>
      <c r="D119" s="91" t="s">
        <v>721</v>
      </c>
      <c r="E119" s="91" t="s">
        <v>351</v>
      </c>
      <c r="F119" s="91" t="n">
        <v>2011</v>
      </c>
      <c r="G119" s="91" t="n">
        <v>18000</v>
      </c>
      <c r="H119" s="91" t="n">
        <v>8747</v>
      </c>
      <c r="I119" s="91" t="s">
        <v>722</v>
      </c>
      <c r="J119" s="95" t="n">
        <v>44819</v>
      </c>
      <c r="K119" s="91" t="s">
        <v>326</v>
      </c>
      <c r="M119" s="91" t="s">
        <v>978</v>
      </c>
      <c r="N119" s="91" t="s">
        <v>328</v>
      </c>
      <c r="O119" s="96" t="str">
        <f aca="false">CO_ORDINATES(N119)</f>
        <v>55.8649751,26.535942</v>
      </c>
      <c r="Q119" s="91" t="n">
        <v>1</v>
      </c>
    </row>
    <row r="120" s="91" customFormat="true" ht="12.75" hidden="false" customHeight="false" outlineLevel="0" collapsed="false">
      <c r="A120" s="91" t="s">
        <v>718</v>
      </c>
      <c r="B120" s="91" t="s">
        <v>982</v>
      </c>
      <c r="C120" s="91" t="s">
        <v>720</v>
      </c>
      <c r="D120" s="91" t="s">
        <v>721</v>
      </c>
      <c r="E120" s="91" t="s">
        <v>351</v>
      </c>
      <c r="F120" s="91" t="n">
        <v>2011</v>
      </c>
      <c r="G120" s="91" t="n">
        <v>18000</v>
      </c>
      <c r="H120" s="91" t="n">
        <v>8714</v>
      </c>
      <c r="I120" s="91" t="s">
        <v>722</v>
      </c>
      <c r="J120" s="95" t="n">
        <v>44875</v>
      </c>
      <c r="K120" s="91" t="s">
        <v>326</v>
      </c>
      <c r="M120" s="91" t="s">
        <v>978</v>
      </c>
      <c r="N120" s="91" t="s">
        <v>328</v>
      </c>
      <c r="O120" s="96" t="str">
        <f aca="false">CO_ORDINATES(N120)</f>
        <v>55.8649751,26.535942</v>
      </c>
      <c r="Q120" s="91" t="n">
        <v>1</v>
      </c>
    </row>
    <row r="121" s="91" customFormat="true" ht="12.75" hidden="false" customHeight="false" outlineLevel="0" collapsed="false">
      <c r="A121" s="91" t="s">
        <v>718</v>
      </c>
      <c r="B121" s="91" t="s">
        <v>983</v>
      </c>
      <c r="C121" s="91" t="s">
        <v>720</v>
      </c>
      <c r="D121" s="91" t="s">
        <v>721</v>
      </c>
      <c r="E121" s="91" t="s">
        <v>351</v>
      </c>
      <c r="F121" s="91" t="n">
        <v>2011</v>
      </c>
      <c r="G121" s="91" t="n">
        <v>18000</v>
      </c>
      <c r="H121" s="91" t="n">
        <v>8717</v>
      </c>
      <c r="I121" s="91" t="s">
        <v>722</v>
      </c>
      <c r="J121" s="95" t="n">
        <v>44888</v>
      </c>
      <c r="K121" s="91" t="s">
        <v>326</v>
      </c>
      <c r="M121" s="91" t="s">
        <v>978</v>
      </c>
      <c r="N121" s="91" t="s">
        <v>328</v>
      </c>
      <c r="O121" s="96" t="str">
        <f aca="false">CO_ORDINATES(N121)</f>
        <v>55.8649751,26.535942</v>
      </c>
      <c r="Q121" s="91" t="n">
        <v>1</v>
      </c>
    </row>
    <row r="122" customFormat="false" ht="12.75" hidden="false" customHeight="false" outlineLevel="0" collapsed="false">
      <c r="A122" s="91" t="s">
        <v>718</v>
      </c>
      <c r="B122" s="91" t="s">
        <v>984</v>
      </c>
      <c r="C122" s="91" t="s">
        <v>720</v>
      </c>
      <c r="D122" s="91" t="s">
        <v>721</v>
      </c>
      <c r="E122" s="91" t="s">
        <v>351</v>
      </c>
      <c r="F122" s="91" t="n">
        <v>2011</v>
      </c>
      <c r="G122" s="91" t="n">
        <v>18000</v>
      </c>
      <c r="H122" s="91" t="n">
        <v>8714</v>
      </c>
      <c r="I122" s="91" t="s">
        <v>722</v>
      </c>
      <c r="J122" s="95" t="n">
        <v>44901</v>
      </c>
      <c r="K122" s="91" t="s">
        <v>326</v>
      </c>
      <c r="L122" s="91" t="s">
        <v>985</v>
      </c>
      <c r="M122" s="91" t="s">
        <v>978</v>
      </c>
      <c r="N122" s="91" t="s">
        <v>328</v>
      </c>
      <c r="O122" s="96" t="str">
        <f aca="false">CO_ORDINATES(N122)</f>
        <v>55.8649751,26.535942</v>
      </c>
      <c r="Q122" s="91" t="n">
        <v>1</v>
      </c>
    </row>
    <row r="123" s="91" customFormat="true" ht="12.75" hidden="false" customHeight="false" outlineLevel="0" collapsed="false">
      <c r="A123" s="91" t="s">
        <v>718</v>
      </c>
      <c r="B123" s="91" t="s">
        <v>986</v>
      </c>
      <c r="C123" s="91" t="s">
        <v>748</v>
      </c>
      <c r="D123" s="91" t="s">
        <v>987</v>
      </c>
      <c r="E123" s="91" t="s">
        <v>988</v>
      </c>
      <c r="F123" s="91" t="n">
        <v>2009</v>
      </c>
      <c r="G123" s="91" t="n">
        <v>18000</v>
      </c>
      <c r="H123" s="91" t="n">
        <v>7165</v>
      </c>
      <c r="I123" s="91" t="s">
        <v>722</v>
      </c>
      <c r="J123" s="95" t="n">
        <v>44966</v>
      </c>
      <c r="K123" s="91" t="s">
        <v>329</v>
      </c>
      <c r="M123" s="91" t="s">
        <v>989</v>
      </c>
      <c r="N123" s="91" t="s">
        <v>331</v>
      </c>
      <c r="O123" s="98" t="e">
        <f aca="false">CO_ORDINATES(N123)</f>
        <v>#VALUE!</v>
      </c>
      <c r="Q123" s="91" t="n">
        <v>1</v>
      </c>
    </row>
    <row r="124" customFormat="false" ht="12.75" hidden="false" customHeight="false" outlineLevel="0" collapsed="false">
      <c r="A124" s="91" t="s">
        <v>718</v>
      </c>
      <c r="B124" s="91" t="s">
        <v>990</v>
      </c>
      <c r="C124" s="91" t="s">
        <v>748</v>
      </c>
      <c r="D124" s="91" t="s">
        <v>991</v>
      </c>
      <c r="E124" s="91" t="s">
        <v>992</v>
      </c>
      <c r="F124" s="91" t="n">
        <v>2007</v>
      </c>
      <c r="G124" s="91" t="n">
        <v>18000</v>
      </c>
      <c r="H124" s="91" t="n">
        <v>7444</v>
      </c>
      <c r="I124" s="91" t="s">
        <v>868</v>
      </c>
      <c r="J124" s="95" t="n">
        <v>44644</v>
      </c>
      <c r="K124" s="91" t="s">
        <v>329</v>
      </c>
      <c r="L124" s="91" t="s">
        <v>330</v>
      </c>
      <c r="M124" s="91" t="s">
        <v>989</v>
      </c>
      <c r="N124" s="91" t="s">
        <v>993</v>
      </c>
      <c r="O124" s="98" t="e">
        <f aca="false">CO_ORDINATES(N124)</f>
        <v>#VALUE!</v>
      </c>
      <c r="Q124" s="91" t="n">
        <v>1</v>
      </c>
    </row>
    <row r="125" customFormat="false" ht="12.75" hidden="false" customHeight="false" outlineLevel="0" collapsed="false">
      <c r="A125" s="91" t="s">
        <v>718</v>
      </c>
      <c r="B125" s="91" t="s">
        <v>994</v>
      </c>
      <c r="C125" s="91" t="s">
        <v>771</v>
      </c>
      <c r="D125" s="91" t="s">
        <v>995</v>
      </c>
      <c r="E125" s="91" t="s">
        <v>333</v>
      </c>
      <c r="F125" s="91" t="n">
        <v>2006</v>
      </c>
      <c r="G125" s="91" t="n">
        <v>18000</v>
      </c>
      <c r="H125" s="91" t="n">
        <v>7940</v>
      </c>
      <c r="I125" s="91" t="s">
        <v>722</v>
      </c>
      <c r="J125" s="95" t="n">
        <v>45015</v>
      </c>
      <c r="K125" s="91" t="s">
        <v>332</v>
      </c>
      <c r="L125" s="91" t="s">
        <v>333</v>
      </c>
      <c r="M125" s="91" t="s">
        <v>996</v>
      </c>
      <c r="N125" s="91" t="s">
        <v>334</v>
      </c>
      <c r="O125" s="96" t="str">
        <f aca="false">CO_ORDINATES(N125)</f>
        <v>55.7629758,26.739875048630736</v>
      </c>
      <c r="Q125" s="91" t="n">
        <v>1</v>
      </c>
    </row>
    <row r="126" s="91" customFormat="true" ht="12.75" hidden="false" customHeight="false" outlineLevel="0" collapsed="false">
      <c r="A126" s="91" t="s">
        <v>718</v>
      </c>
      <c r="C126" s="91" t="s">
        <v>731</v>
      </c>
      <c r="D126" s="91" t="s">
        <v>763</v>
      </c>
      <c r="E126" s="91" t="s">
        <v>238</v>
      </c>
      <c r="F126" s="91" t="n">
        <v>2004</v>
      </c>
      <c r="G126" s="91" t="n">
        <v>20000</v>
      </c>
      <c r="H126" s="91" t="n">
        <v>8050</v>
      </c>
      <c r="I126" s="91" t="s">
        <v>722</v>
      </c>
      <c r="J126" s="95" t="n">
        <v>44750</v>
      </c>
      <c r="K126" s="91" t="s">
        <v>997</v>
      </c>
      <c r="M126" s="91" t="s">
        <v>998</v>
      </c>
      <c r="N126" s="91" t="s">
        <v>999</v>
      </c>
      <c r="O126" s="96" t="str">
        <f aca="false">CO_ORDINATES(N126)</f>
        <v>55.9044773,26.4947186</v>
      </c>
      <c r="Q126" s="91" t="n">
        <v>1</v>
      </c>
    </row>
    <row r="127" s="91" customFormat="true" ht="12.75" hidden="false" customHeight="false" outlineLevel="0" collapsed="false">
      <c r="A127" s="91" t="s">
        <v>718</v>
      </c>
      <c r="C127" s="91" t="s">
        <v>731</v>
      </c>
      <c r="D127" s="91" t="s">
        <v>763</v>
      </c>
      <c r="E127" s="91" t="s">
        <v>238</v>
      </c>
      <c r="F127" s="91" t="n">
        <v>2005</v>
      </c>
      <c r="G127" s="91" t="n">
        <v>18000</v>
      </c>
      <c r="H127" s="91" t="n">
        <v>8000</v>
      </c>
      <c r="I127" s="91" t="s">
        <v>722</v>
      </c>
      <c r="J127" s="95" t="n">
        <v>44728</v>
      </c>
      <c r="K127" s="91" t="s">
        <v>997</v>
      </c>
      <c r="M127" s="91" t="s">
        <v>998</v>
      </c>
      <c r="N127" s="91" t="s">
        <v>999</v>
      </c>
      <c r="O127" s="96" t="str">
        <f aca="false">CO_ORDINATES(N127)</f>
        <v>55.9044773,26.4947186</v>
      </c>
      <c r="Q127" s="91" t="n">
        <v>1</v>
      </c>
    </row>
    <row r="128" s="91" customFormat="true" ht="12.75" hidden="false" customHeight="false" outlineLevel="0" collapsed="false">
      <c r="A128" s="91" t="s">
        <v>718</v>
      </c>
      <c r="C128" s="91" t="s">
        <v>731</v>
      </c>
      <c r="D128" s="91" t="s">
        <v>763</v>
      </c>
      <c r="E128" s="91" t="s">
        <v>238</v>
      </c>
      <c r="F128" s="91" t="n">
        <v>2005</v>
      </c>
      <c r="G128" s="91" t="n">
        <v>18000</v>
      </c>
      <c r="H128" s="91" t="n">
        <v>7863</v>
      </c>
      <c r="I128" s="91" t="s">
        <v>722</v>
      </c>
      <c r="J128" s="95" t="n">
        <v>44854</v>
      </c>
      <c r="K128" s="91" t="s">
        <v>997</v>
      </c>
      <c r="M128" s="91" t="s">
        <v>998</v>
      </c>
      <c r="N128" s="91" t="s">
        <v>999</v>
      </c>
      <c r="O128" s="96" t="str">
        <f aca="false">CO_ORDINATES(N128)</f>
        <v>55.9044773,26.4947186</v>
      </c>
      <c r="Q128" s="91" t="n">
        <v>1</v>
      </c>
    </row>
    <row r="129" customFormat="false" ht="12.75" hidden="false" customHeight="false" outlineLevel="0" collapsed="false">
      <c r="A129" s="91" t="s">
        <v>718</v>
      </c>
      <c r="C129" s="91" t="s">
        <v>731</v>
      </c>
      <c r="D129" s="91" t="s">
        <v>763</v>
      </c>
      <c r="E129" s="91" t="s">
        <v>238</v>
      </c>
      <c r="F129" s="91" t="n">
        <v>2005</v>
      </c>
      <c r="G129" s="91" t="n">
        <v>18000</v>
      </c>
      <c r="H129" s="91" t="n">
        <v>7040</v>
      </c>
      <c r="I129" s="91" t="s">
        <v>722</v>
      </c>
      <c r="J129" s="95" t="n">
        <v>45015</v>
      </c>
      <c r="K129" s="91" t="s">
        <v>997</v>
      </c>
      <c r="L129" s="91" t="s">
        <v>1000</v>
      </c>
      <c r="M129" s="91" t="s">
        <v>998</v>
      </c>
      <c r="N129" s="91" t="s">
        <v>999</v>
      </c>
      <c r="O129" s="96" t="str">
        <f aca="false">CO_ORDINATES(N129)</f>
        <v>55.9044773,26.4947186</v>
      </c>
      <c r="Q129" s="91" t="n">
        <v>1</v>
      </c>
    </row>
    <row r="130" s="91" customFormat="true" ht="12.75" hidden="false" customHeight="false" outlineLevel="0" collapsed="false">
      <c r="A130" s="91" t="s">
        <v>718</v>
      </c>
      <c r="B130" s="91" t="s">
        <v>1001</v>
      </c>
      <c r="C130" s="91" t="s">
        <v>720</v>
      </c>
      <c r="D130" s="91" t="s">
        <v>721</v>
      </c>
      <c r="E130" s="91" t="s">
        <v>351</v>
      </c>
      <c r="F130" s="91" t="n">
        <v>2007</v>
      </c>
      <c r="G130" s="91" t="n">
        <v>20500</v>
      </c>
      <c r="H130" s="91" t="n">
        <v>8660</v>
      </c>
      <c r="I130" s="91" t="s">
        <v>745</v>
      </c>
      <c r="J130" s="95" t="n">
        <v>44648</v>
      </c>
      <c r="K130" s="91" t="s">
        <v>335</v>
      </c>
      <c r="M130" s="91" t="s">
        <v>1002</v>
      </c>
      <c r="N130" s="91" t="s">
        <v>337</v>
      </c>
      <c r="O130" s="96" t="str">
        <f aca="false">CO_ORDINATES(N130)</f>
        <v>55.8827435,26.515728</v>
      </c>
      <c r="Q130" s="91" t="n">
        <v>1</v>
      </c>
    </row>
    <row r="131" s="91" customFormat="true" ht="12.75" hidden="false" customHeight="false" outlineLevel="0" collapsed="false">
      <c r="A131" s="91" t="s">
        <v>718</v>
      </c>
      <c r="B131" s="91" t="s">
        <v>1003</v>
      </c>
      <c r="C131" s="91" t="s">
        <v>720</v>
      </c>
      <c r="D131" s="91" t="s">
        <v>721</v>
      </c>
      <c r="E131" s="91" t="s">
        <v>351</v>
      </c>
      <c r="F131" s="91" t="n">
        <v>2007</v>
      </c>
      <c r="G131" s="91" t="n">
        <v>20500</v>
      </c>
      <c r="H131" s="91" t="n">
        <v>8900</v>
      </c>
      <c r="I131" s="91" t="s">
        <v>722</v>
      </c>
      <c r="J131" s="95" t="n">
        <v>44902</v>
      </c>
      <c r="K131" s="91" t="s">
        <v>335</v>
      </c>
      <c r="M131" s="91" t="s">
        <v>1002</v>
      </c>
      <c r="N131" s="91" t="s">
        <v>337</v>
      </c>
      <c r="O131" s="96" t="str">
        <f aca="false">CO_ORDINATES(N131)</f>
        <v>55.8827435,26.515728</v>
      </c>
      <c r="Q131" s="91" t="n">
        <v>1</v>
      </c>
    </row>
    <row r="132" s="91" customFormat="true" ht="12.75" hidden="false" customHeight="false" outlineLevel="0" collapsed="false">
      <c r="A132" s="91" t="s">
        <v>718</v>
      </c>
      <c r="B132" s="91" t="s">
        <v>1004</v>
      </c>
      <c r="C132" s="91" t="s">
        <v>720</v>
      </c>
      <c r="D132" s="91" t="s">
        <v>721</v>
      </c>
      <c r="E132" s="91" t="s">
        <v>351</v>
      </c>
      <c r="F132" s="91" t="n">
        <v>2007</v>
      </c>
      <c r="G132" s="91" t="n">
        <v>20500</v>
      </c>
      <c r="H132" s="91" t="n">
        <v>8770</v>
      </c>
      <c r="I132" s="91" t="s">
        <v>722</v>
      </c>
      <c r="J132" s="95" t="n">
        <v>44922</v>
      </c>
      <c r="K132" s="91" t="s">
        <v>335</v>
      </c>
      <c r="M132" s="91" t="s">
        <v>1002</v>
      </c>
      <c r="N132" s="91" t="s">
        <v>337</v>
      </c>
      <c r="O132" s="96" t="str">
        <f aca="false">CO_ORDINATES(N132)</f>
        <v>55.8827435,26.515728</v>
      </c>
      <c r="Q132" s="91" t="n">
        <v>1</v>
      </c>
    </row>
    <row r="133" s="91" customFormat="true" ht="12.75" hidden="false" customHeight="false" outlineLevel="0" collapsed="false">
      <c r="A133" s="91" t="s">
        <v>718</v>
      </c>
      <c r="B133" s="91" t="s">
        <v>1005</v>
      </c>
      <c r="C133" s="91" t="s">
        <v>720</v>
      </c>
      <c r="D133" s="91" t="s">
        <v>721</v>
      </c>
      <c r="E133" s="91" t="s">
        <v>351</v>
      </c>
      <c r="F133" s="91" t="n">
        <v>2007</v>
      </c>
      <c r="G133" s="91" t="n">
        <v>20500</v>
      </c>
      <c r="H133" s="91" t="n">
        <v>8960</v>
      </c>
      <c r="I133" s="91" t="s">
        <v>722</v>
      </c>
      <c r="J133" s="95" t="n">
        <v>44925</v>
      </c>
      <c r="K133" s="91" t="s">
        <v>335</v>
      </c>
      <c r="M133" s="91" t="s">
        <v>1002</v>
      </c>
      <c r="N133" s="91" t="s">
        <v>337</v>
      </c>
      <c r="O133" s="96" t="str">
        <f aca="false">CO_ORDINATES(N133)</f>
        <v>55.8827435,26.515728</v>
      </c>
      <c r="Q133" s="91" t="n">
        <v>1</v>
      </c>
    </row>
    <row r="134" s="91" customFormat="true" ht="12.75" hidden="false" customHeight="false" outlineLevel="0" collapsed="false">
      <c r="A134" s="91" t="s">
        <v>718</v>
      </c>
      <c r="B134" s="91" t="s">
        <v>1006</v>
      </c>
      <c r="C134" s="91" t="s">
        <v>731</v>
      </c>
      <c r="D134" s="91" t="s">
        <v>763</v>
      </c>
      <c r="E134" s="91" t="s">
        <v>238</v>
      </c>
      <c r="F134" s="91" t="n">
        <v>2003</v>
      </c>
      <c r="G134" s="91" t="n">
        <v>20000</v>
      </c>
      <c r="H134" s="91" t="n">
        <v>8310</v>
      </c>
      <c r="I134" s="91" t="s">
        <v>722</v>
      </c>
      <c r="J134" s="95" t="n">
        <v>44894</v>
      </c>
      <c r="K134" s="91" t="s">
        <v>335</v>
      </c>
      <c r="M134" s="91" t="s">
        <v>1002</v>
      </c>
      <c r="N134" s="91" t="s">
        <v>337</v>
      </c>
      <c r="O134" s="96" t="str">
        <f aca="false">CO_ORDINATES(N134)</f>
        <v>55.8827435,26.515728</v>
      </c>
      <c r="Q134" s="91" t="n">
        <v>1</v>
      </c>
    </row>
    <row r="135" customFormat="false" ht="12.75" hidden="false" customHeight="false" outlineLevel="0" collapsed="false">
      <c r="A135" s="91" t="s">
        <v>718</v>
      </c>
      <c r="B135" s="91" t="s">
        <v>1007</v>
      </c>
      <c r="C135" s="91" t="s">
        <v>727</v>
      </c>
      <c r="D135" s="91" t="s">
        <v>786</v>
      </c>
      <c r="E135" s="91" t="s">
        <v>264</v>
      </c>
      <c r="F135" s="91" t="n">
        <v>2005</v>
      </c>
      <c r="G135" s="91" t="n">
        <v>18600</v>
      </c>
      <c r="H135" s="91" t="n">
        <v>8170</v>
      </c>
      <c r="I135" s="91" t="s">
        <v>722</v>
      </c>
      <c r="J135" s="95" t="n">
        <v>44895</v>
      </c>
      <c r="K135" s="91" t="s">
        <v>335</v>
      </c>
      <c r="L135" s="91" t="s">
        <v>1008</v>
      </c>
      <c r="M135" s="91" t="s">
        <v>1002</v>
      </c>
      <c r="N135" s="91" t="s">
        <v>337</v>
      </c>
      <c r="O135" s="96" t="str">
        <f aca="false">CO_ORDINATES(N135)</f>
        <v>55.8827435,26.515728</v>
      </c>
      <c r="Q135" s="91" t="n">
        <v>1</v>
      </c>
    </row>
    <row r="136" customFormat="false" ht="12.75" hidden="false" customHeight="false" outlineLevel="0" collapsed="false">
      <c r="A136" s="97" t="s">
        <v>718</v>
      </c>
      <c r="B136" s="97" t="s">
        <v>1009</v>
      </c>
      <c r="C136" s="97" t="s">
        <v>771</v>
      </c>
      <c r="D136" s="97" t="s">
        <v>1010</v>
      </c>
      <c r="E136" s="97" t="s">
        <v>339</v>
      </c>
      <c r="F136" s="97" t="n">
        <v>2009</v>
      </c>
      <c r="G136" s="97" t="n">
        <v>28000</v>
      </c>
      <c r="H136" s="97" t="n">
        <v>9555</v>
      </c>
      <c r="I136" s="97" t="s">
        <v>722</v>
      </c>
      <c r="J136" s="99" t="n">
        <v>44792</v>
      </c>
      <c r="K136" s="97" t="s">
        <v>338</v>
      </c>
      <c r="L136" s="97" t="s">
        <v>339</v>
      </c>
      <c r="M136" s="97" t="s">
        <v>1011</v>
      </c>
      <c r="N136" s="97" t="s">
        <v>340</v>
      </c>
      <c r="O136" s="96" t="str">
        <f aca="false">CO_ORDINATES(N136)</f>
        <v>55.8744315,26.5682854</v>
      </c>
      <c r="P136" s="97"/>
      <c r="Q136" s="97" t="n">
        <v>1</v>
      </c>
    </row>
    <row r="137" s="91" customFormat="true" ht="12.75" hidden="false" customHeight="false" outlineLevel="0" collapsed="false">
      <c r="A137" s="91" t="s">
        <v>718</v>
      </c>
      <c r="B137" s="91" t="s">
        <v>1012</v>
      </c>
      <c r="C137" s="91" t="s">
        <v>731</v>
      </c>
      <c r="D137" s="91" t="s">
        <v>732</v>
      </c>
      <c r="E137" s="91" t="s">
        <v>200</v>
      </c>
      <c r="F137" s="91" t="n">
        <v>2007</v>
      </c>
      <c r="G137" s="91" t="n">
        <v>18000</v>
      </c>
      <c r="H137" s="91" t="n">
        <v>8100</v>
      </c>
      <c r="I137" s="91" t="s">
        <v>722</v>
      </c>
      <c r="J137" s="95" t="n">
        <v>45057</v>
      </c>
      <c r="K137" s="91" t="s">
        <v>341</v>
      </c>
      <c r="M137" s="91" t="s">
        <v>1013</v>
      </c>
      <c r="N137" s="91" t="s">
        <v>343</v>
      </c>
      <c r="O137" s="96" t="str">
        <f aca="false">CO_ORDINATES(N137)</f>
        <v>55.8690041,26.5145898</v>
      </c>
      <c r="Q137" s="91" t="n">
        <v>1</v>
      </c>
    </row>
    <row r="138" customFormat="false" ht="12.75" hidden="false" customHeight="false" outlineLevel="0" collapsed="false">
      <c r="A138" s="91" t="s">
        <v>718</v>
      </c>
      <c r="B138" s="91" t="s">
        <v>1014</v>
      </c>
      <c r="C138" s="91" t="s">
        <v>731</v>
      </c>
      <c r="D138" s="91" t="s">
        <v>732</v>
      </c>
      <c r="E138" s="91" t="s">
        <v>200</v>
      </c>
      <c r="F138" s="91" t="n">
        <v>2008</v>
      </c>
      <c r="G138" s="91" t="n">
        <v>18000</v>
      </c>
      <c r="H138" s="91" t="n">
        <v>8600</v>
      </c>
      <c r="I138" s="91" t="s">
        <v>722</v>
      </c>
      <c r="J138" s="95" t="n">
        <v>44866</v>
      </c>
      <c r="K138" s="91" t="s">
        <v>341</v>
      </c>
      <c r="L138" s="91" t="s">
        <v>342</v>
      </c>
      <c r="M138" s="91" t="s">
        <v>1013</v>
      </c>
      <c r="N138" s="91" t="s">
        <v>1015</v>
      </c>
      <c r="O138" s="98" t="e">
        <f aca="false">CO_ORDINATES(N138)</f>
        <v>#VALUE!</v>
      </c>
      <c r="Q138" s="91" t="n">
        <v>1</v>
      </c>
    </row>
    <row r="139" s="91" customFormat="true" ht="12.75" hidden="false" customHeight="false" outlineLevel="0" collapsed="false">
      <c r="A139" s="91" t="s">
        <v>718</v>
      </c>
      <c r="B139" s="91" t="s">
        <v>1016</v>
      </c>
      <c r="C139" s="91" t="s">
        <v>727</v>
      </c>
      <c r="D139" s="91" t="s">
        <v>782</v>
      </c>
      <c r="E139" s="91" t="s">
        <v>783</v>
      </c>
      <c r="F139" s="91" t="n">
        <v>2014</v>
      </c>
      <c r="G139" s="91" t="n">
        <v>18600</v>
      </c>
      <c r="H139" s="91" t="n">
        <v>8646</v>
      </c>
      <c r="I139" s="91" t="s">
        <v>722</v>
      </c>
      <c r="J139" s="95" t="n">
        <v>45020</v>
      </c>
      <c r="K139" s="91" t="s">
        <v>1017</v>
      </c>
      <c r="M139" s="91" t="s">
        <v>1018</v>
      </c>
      <c r="N139" s="91" t="s">
        <v>1019</v>
      </c>
      <c r="O139" s="96" t="str">
        <f aca="false">CO_ORDINATES(N139)</f>
        <v>55.90155235,26.553693293183063</v>
      </c>
      <c r="Q139" s="91" t="n">
        <v>1</v>
      </c>
    </row>
    <row r="140" s="91" customFormat="true" ht="12.75" hidden="false" customHeight="false" outlineLevel="0" collapsed="false">
      <c r="A140" s="91" t="s">
        <v>718</v>
      </c>
      <c r="B140" s="91" t="s">
        <v>1020</v>
      </c>
      <c r="C140" s="91" t="s">
        <v>727</v>
      </c>
      <c r="D140" s="91" t="s">
        <v>827</v>
      </c>
      <c r="E140" s="91" t="s">
        <v>247</v>
      </c>
      <c r="F140" s="91" t="n">
        <v>2013</v>
      </c>
      <c r="G140" s="91" t="n">
        <v>18600</v>
      </c>
      <c r="H140" s="91" t="n">
        <v>8517</v>
      </c>
      <c r="I140" s="91" t="s">
        <v>722</v>
      </c>
      <c r="J140" s="95" t="n">
        <v>45022</v>
      </c>
      <c r="K140" s="91" t="s">
        <v>1017</v>
      </c>
      <c r="M140" s="91" t="s">
        <v>1018</v>
      </c>
      <c r="N140" s="91" t="s">
        <v>1019</v>
      </c>
      <c r="O140" s="96" t="str">
        <f aca="false">CO_ORDINATES(N140)</f>
        <v>55.90155235,26.553693293183063</v>
      </c>
      <c r="Q140" s="91" t="n">
        <v>1</v>
      </c>
    </row>
    <row r="141" s="91" customFormat="true" ht="12.75" hidden="false" customHeight="false" outlineLevel="0" collapsed="false">
      <c r="A141" s="91" t="s">
        <v>718</v>
      </c>
      <c r="B141" s="91" t="s">
        <v>1021</v>
      </c>
      <c r="C141" s="91" t="s">
        <v>727</v>
      </c>
      <c r="D141" s="91" t="s">
        <v>827</v>
      </c>
      <c r="E141" s="91" t="s">
        <v>247</v>
      </c>
      <c r="F141" s="91" t="n">
        <v>2013</v>
      </c>
      <c r="G141" s="91" t="n">
        <v>18600</v>
      </c>
      <c r="H141" s="91" t="n">
        <v>8526</v>
      </c>
      <c r="I141" s="91" t="s">
        <v>722</v>
      </c>
      <c r="J141" s="95" t="n">
        <v>45043</v>
      </c>
      <c r="K141" s="91" t="s">
        <v>1017</v>
      </c>
      <c r="M141" s="91" t="s">
        <v>1018</v>
      </c>
      <c r="N141" s="91" t="s">
        <v>1019</v>
      </c>
      <c r="O141" s="96" t="str">
        <f aca="false">CO_ORDINATES(N141)</f>
        <v>55.90155235,26.553693293183063</v>
      </c>
      <c r="Q141" s="91" t="n">
        <v>1</v>
      </c>
    </row>
    <row r="142" customFormat="false" ht="12.75" hidden="false" customHeight="false" outlineLevel="0" collapsed="false">
      <c r="A142" s="91" t="s">
        <v>718</v>
      </c>
      <c r="B142" s="91" t="s">
        <v>1022</v>
      </c>
      <c r="C142" s="91" t="s">
        <v>720</v>
      </c>
      <c r="D142" s="91" t="s">
        <v>721</v>
      </c>
      <c r="E142" s="91" t="s">
        <v>351</v>
      </c>
      <c r="F142" s="91" t="n">
        <v>2012</v>
      </c>
      <c r="G142" s="91" t="n">
        <v>18000</v>
      </c>
      <c r="H142" s="91" t="n">
        <v>8657</v>
      </c>
      <c r="I142" s="91" t="s">
        <v>722</v>
      </c>
      <c r="J142" s="95" t="n">
        <v>44820</v>
      </c>
      <c r="K142" s="91" t="s">
        <v>1017</v>
      </c>
      <c r="L142" s="91" t="s">
        <v>1023</v>
      </c>
      <c r="M142" s="91" t="s">
        <v>1018</v>
      </c>
      <c r="N142" s="91" t="s">
        <v>1019</v>
      </c>
      <c r="O142" s="96" t="str">
        <f aca="false">CO_ORDINATES(N142)</f>
        <v>55.90155235,26.553693293183063</v>
      </c>
      <c r="Q142" s="91" t="n">
        <v>1</v>
      </c>
    </row>
    <row r="143" customFormat="false" ht="12.75" hidden="false" customHeight="false" outlineLevel="0" collapsed="false">
      <c r="A143" s="97" t="s">
        <v>718</v>
      </c>
      <c r="B143" s="97" t="s">
        <v>1024</v>
      </c>
      <c r="C143" s="97" t="s">
        <v>720</v>
      </c>
      <c r="D143" s="97" t="s">
        <v>1025</v>
      </c>
      <c r="E143" s="97" t="s">
        <v>1026</v>
      </c>
      <c r="F143" s="97" t="n">
        <v>2014</v>
      </c>
      <c r="G143" s="97" t="n">
        <v>26500</v>
      </c>
      <c r="H143" s="97" t="n">
        <v>9010</v>
      </c>
      <c r="I143" s="97" t="s">
        <v>722</v>
      </c>
      <c r="J143" s="99" t="n">
        <v>44733</v>
      </c>
      <c r="K143" s="97" t="s">
        <v>344</v>
      </c>
      <c r="L143" s="97"/>
      <c r="M143" s="97" t="s">
        <v>1027</v>
      </c>
      <c r="N143" s="97" t="s">
        <v>346</v>
      </c>
      <c r="O143" s="96" t="str">
        <f aca="false">CO_ORDINATES(N143)</f>
        <v>55.8659525,26.5796242</v>
      </c>
      <c r="P143" s="97"/>
      <c r="Q143" s="97" t="n">
        <v>1</v>
      </c>
    </row>
    <row r="144" s="91" customFormat="true" ht="12.75" hidden="false" customHeight="false" outlineLevel="0" collapsed="false">
      <c r="A144" s="91" t="s">
        <v>718</v>
      </c>
      <c r="B144" s="91" t="s">
        <v>1028</v>
      </c>
      <c r="C144" s="91" t="s">
        <v>720</v>
      </c>
      <c r="D144" s="91" t="s">
        <v>721</v>
      </c>
      <c r="E144" s="91" t="s">
        <v>351</v>
      </c>
      <c r="F144" s="91" t="n">
        <v>2007</v>
      </c>
      <c r="G144" s="91" t="n">
        <v>20500</v>
      </c>
      <c r="H144" s="91" t="n">
        <v>7800</v>
      </c>
      <c r="I144" s="91" t="s">
        <v>722</v>
      </c>
      <c r="J144" s="95" t="n">
        <v>44714</v>
      </c>
      <c r="K144" s="91" t="s">
        <v>344</v>
      </c>
      <c r="M144" s="91" t="s">
        <v>1027</v>
      </c>
      <c r="N144" s="91" t="s">
        <v>346</v>
      </c>
      <c r="O144" s="96" t="str">
        <f aca="false">CO_ORDINATES(N144)</f>
        <v>55.8659525,26.5796242</v>
      </c>
      <c r="Q144" s="91" t="n">
        <v>1</v>
      </c>
    </row>
    <row r="145" customFormat="false" ht="12.75" hidden="false" customHeight="false" outlineLevel="0" collapsed="false">
      <c r="A145" s="91" t="s">
        <v>718</v>
      </c>
      <c r="B145" s="91" t="s">
        <v>1029</v>
      </c>
      <c r="C145" s="91" t="s">
        <v>720</v>
      </c>
      <c r="D145" s="91" t="s">
        <v>760</v>
      </c>
      <c r="E145" s="91" t="s">
        <v>222</v>
      </c>
      <c r="F145" s="91" t="n">
        <v>2006</v>
      </c>
      <c r="G145" s="91" t="n">
        <v>18000</v>
      </c>
      <c r="H145" s="91" t="n">
        <v>7800</v>
      </c>
      <c r="I145" s="91" t="s">
        <v>722</v>
      </c>
      <c r="J145" s="95" t="n">
        <v>44859</v>
      </c>
      <c r="K145" s="91" t="s">
        <v>344</v>
      </c>
      <c r="L145" s="91" t="s">
        <v>345</v>
      </c>
      <c r="M145" s="91" t="s">
        <v>1027</v>
      </c>
      <c r="N145" s="91" t="s">
        <v>1030</v>
      </c>
      <c r="O145" s="96" t="str">
        <f aca="false">CO_ORDINATES(N145)</f>
        <v>55.8986737,26.4729677</v>
      </c>
      <c r="Q145" s="91" t="n">
        <v>1</v>
      </c>
    </row>
    <row r="146" customFormat="false" ht="12.75" hidden="false" customHeight="false" outlineLevel="0" collapsed="false">
      <c r="A146" s="91" t="s">
        <v>718</v>
      </c>
      <c r="B146" s="91" t="s">
        <v>1031</v>
      </c>
      <c r="C146" s="91" t="s">
        <v>720</v>
      </c>
      <c r="D146" s="91" t="s">
        <v>801</v>
      </c>
      <c r="E146" s="91" t="s">
        <v>348</v>
      </c>
      <c r="F146" s="91" t="n">
        <v>2013</v>
      </c>
      <c r="G146" s="91" t="n">
        <v>19500</v>
      </c>
      <c r="H146" s="91" t="n">
        <v>8631</v>
      </c>
      <c r="I146" s="91" t="s">
        <v>722</v>
      </c>
      <c r="J146" s="95" t="n">
        <v>45065</v>
      </c>
      <c r="K146" s="91" t="s">
        <v>347</v>
      </c>
      <c r="L146" s="91" t="s">
        <v>348</v>
      </c>
      <c r="M146" s="91" t="s">
        <v>1032</v>
      </c>
      <c r="N146" s="91" t="s">
        <v>349</v>
      </c>
      <c r="O146" s="96" t="str">
        <f aca="false">CO_ORDINATES(N146)</f>
        <v>55.8712666,26.553004</v>
      </c>
      <c r="Q146" s="91" t="n">
        <v>1</v>
      </c>
    </row>
    <row r="147" customFormat="false" ht="12.75" hidden="false" customHeight="false" outlineLevel="0" collapsed="false">
      <c r="A147" s="91" t="s">
        <v>718</v>
      </c>
      <c r="B147" s="91" t="s">
        <v>1033</v>
      </c>
      <c r="C147" s="91" t="s">
        <v>720</v>
      </c>
      <c r="D147" s="91" t="s">
        <v>721</v>
      </c>
      <c r="E147" s="91" t="s">
        <v>351</v>
      </c>
      <c r="F147" s="91" t="n">
        <v>2012</v>
      </c>
      <c r="G147" s="91" t="n">
        <v>18000</v>
      </c>
      <c r="H147" s="91" t="n">
        <v>8625</v>
      </c>
      <c r="I147" s="91" t="s">
        <v>722</v>
      </c>
      <c r="J147" s="95" t="n">
        <v>45064</v>
      </c>
      <c r="K147" s="91" t="s">
        <v>350</v>
      </c>
      <c r="L147" s="91" t="s">
        <v>351</v>
      </c>
      <c r="M147" s="91" t="s">
        <v>1034</v>
      </c>
      <c r="N147" s="91" t="s">
        <v>352</v>
      </c>
      <c r="O147" s="96" t="str">
        <f aca="false">CO_ORDINATES(N147)</f>
        <v>55.8645572,26.590132</v>
      </c>
      <c r="Q147" s="91" t="n">
        <v>1</v>
      </c>
    </row>
    <row r="148" customFormat="false" ht="12.75" hidden="false" customHeight="false" outlineLevel="0" collapsed="false">
      <c r="A148" s="91" t="s">
        <v>718</v>
      </c>
      <c r="B148" s="91" t="s">
        <v>1035</v>
      </c>
      <c r="C148" s="91" t="s">
        <v>748</v>
      </c>
      <c r="D148" s="91" t="s">
        <v>749</v>
      </c>
      <c r="E148" s="91" t="s">
        <v>354</v>
      </c>
      <c r="F148" s="91" t="n">
        <v>2014</v>
      </c>
      <c r="G148" s="91" t="n">
        <v>18000</v>
      </c>
      <c r="H148" s="91" t="n">
        <v>7142</v>
      </c>
      <c r="I148" s="91" t="s">
        <v>722</v>
      </c>
      <c r="J148" s="95" t="n">
        <v>44967</v>
      </c>
      <c r="K148" s="91" t="s">
        <v>353</v>
      </c>
      <c r="L148" s="91" t="s">
        <v>354</v>
      </c>
      <c r="M148" s="91" t="s">
        <v>1036</v>
      </c>
      <c r="N148" s="91" t="s">
        <v>355</v>
      </c>
      <c r="O148" s="96" t="str">
        <f aca="false">CO_ORDINATES(N148)</f>
        <v>55.8713321,26.5426743</v>
      </c>
      <c r="Q148" s="91" t="n">
        <v>1</v>
      </c>
    </row>
    <row r="149" s="91" customFormat="true" ht="12.75" hidden="false" customHeight="false" outlineLevel="0" collapsed="false">
      <c r="A149" s="91" t="s">
        <v>718</v>
      </c>
      <c r="B149" s="91" t="s">
        <v>1037</v>
      </c>
      <c r="C149" s="91" t="s">
        <v>731</v>
      </c>
      <c r="D149" s="91" t="s">
        <v>732</v>
      </c>
      <c r="E149" s="91" t="s">
        <v>200</v>
      </c>
      <c r="F149" s="91" t="n">
        <v>2016</v>
      </c>
      <c r="G149" s="91" t="n">
        <v>20500</v>
      </c>
      <c r="H149" s="91" t="n">
        <v>8700</v>
      </c>
      <c r="I149" s="91" t="s">
        <v>722</v>
      </c>
      <c r="J149" s="95" t="n">
        <v>44987</v>
      </c>
      <c r="K149" s="91" t="s">
        <v>356</v>
      </c>
      <c r="M149" s="91" t="s">
        <v>1038</v>
      </c>
      <c r="N149" s="91" t="s">
        <v>358</v>
      </c>
      <c r="O149" s="98" t="s">
        <v>1039</v>
      </c>
      <c r="Q149" s="91" t="n">
        <v>1</v>
      </c>
    </row>
    <row r="150" s="91" customFormat="true" ht="12.75" hidden="false" customHeight="false" outlineLevel="0" collapsed="false">
      <c r="A150" s="91" t="s">
        <v>718</v>
      </c>
      <c r="B150" s="91" t="s">
        <v>1040</v>
      </c>
      <c r="C150" s="91" t="s">
        <v>731</v>
      </c>
      <c r="D150" s="91" t="s">
        <v>732</v>
      </c>
      <c r="E150" s="91" t="s">
        <v>200</v>
      </c>
      <c r="F150" s="91" t="n">
        <v>2016</v>
      </c>
      <c r="G150" s="91" t="n">
        <v>20500</v>
      </c>
      <c r="H150" s="91" t="n">
        <v>8700</v>
      </c>
      <c r="I150" s="91" t="s">
        <v>722</v>
      </c>
      <c r="J150" s="95" t="n">
        <v>44998</v>
      </c>
      <c r="K150" s="91" t="s">
        <v>356</v>
      </c>
      <c r="M150" s="91" t="s">
        <v>1038</v>
      </c>
      <c r="N150" s="91" t="s">
        <v>358</v>
      </c>
      <c r="O150" s="98" t="s">
        <v>1039</v>
      </c>
      <c r="Q150" s="91" t="n">
        <v>1</v>
      </c>
    </row>
    <row r="151" s="91" customFormat="true" ht="12.75" hidden="false" customHeight="false" outlineLevel="0" collapsed="false">
      <c r="A151" s="91" t="s">
        <v>718</v>
      </c>
      <c r="B151" s="91" t="s">
        <v>1041</v>
      </c>
      <c r="C151" s="91" t="s">
        <v>731</v>
      </c>
      <c r="D151" s="91" t="s">
        <v>732</v>
      </c>
      <c r="E151" s="91" t="s">
        <v>200</v>
      </c>
      <c r="F151" s="91" t="n">
        <v>2017</v>
      </c>
      <c r="G151" s="91" t="n">
        <v>18000</v>
      </c>
      <c r="H151" s="91" t="n">
        <v>8598</v>
      </c>
      <c r="I151" s="91" t="s">
        <v>722</v>
      </c>
      <c r="J151" s="95" t="n">
        <v>44783</v>
      </c>
      <c r="K151" s="91" t="s">
        <v>356</v>
      </c>
      <c r="M151" s="91" t="s">
        <v>1038</v>
      </c>
      <c r="N151" s="91" t="s">
        <v>358</v>
      </c>
      <c r="O151" s="98" t="s">
        <v>1039</v>
      </c>
      <c r="Q151" s="91" t="n">
        <v>1</v>
      </c>
    </row>
    <row r="152" s="91" customFormat="true" ht="12.75" hidden="false" customHeight="false" outlineLevel="0" collapsed="false">
      <c r="A152" s="91" t="s">
        <v>718</v>
      </c>
      <c r="B152" s="91" t="s">
        <v>1042</v>
      </c>
      <c r="C152" s="91" t="s">
        <v>731</v>
      </c>
      <c r="D152" s="91" t="s">
        <v>732</v>
      </c>
      <c r="E152" s="91" t="s">
        <v>200</v>
      </c>
      <c r="F152" s="91" t="n">
        <v>2017</v>
      </c>
      <c r="G152" s="91" t="n">
        <v>18000</v>
      </c>
      <c r="H152" s="91" t="n">
        <v>8598</v>
      </c>
      <c r="I152" s="91" t="s">
        <v>722</v>
      </c>
      <c r="J152" s="95" t="n">
        <v>44834</v>
      </c>
      <c r="K152" s="91" t="s">
        <v>356</v>
      </c>
      <c r="M152" s="91" t="s">
        <v>1038</v>
      </c>
      <c r="N152" s="91" t="s">
        <v>358</v>
      </c>
      <c r="O152" s="98" t="s">
        <v>1039</v>
      </c>
      <c r="Q152" s="91" t="n">
        <v>1</v>
      </c>
    </row>
    <row r="153" s="91" customFormat="true" ht="12.75" hidden="false" customHeight="false" outlineLevel="0" collapsed="false">
      <c r="A153" s="91" t="s">
        <v>718</v>
      </c>
      <c r="B153" s="91" t="s">
        <v>1043</v>
      </c>
      <c r="C153" s="91" t="s">
        <v>731</v>
      </c>
      <c r="D153" s="91" t="s">
        <v>732</v>
      </c>
      <c r="E153" s="91" t="s">
        <v>200</v>
      </c>
      <c r="F153" s="91" t="n">
        <v>2012</v>
      </c>
      <c r="G153" s="91" t="n">
        <v>18000</v>
      </c>
      <c r="H153" s="91" t="n">
        <v>8860</v>
      </c>
      <c r="I153" s="91" t="s">
        <v>722</v>
      </c>
      <c r="J153" s="95" t="n">
        <v>44841</v>
      </c>
      <c r="K153" s="91" t="s">
        <v>356</v>
      </c>
      <c r="M153" s="91" t="s">
        <v>1038</v>
      </c>
      <c r="N153" s="91" t="s">
        <v>358</v>
      </c>
      <c r="O153" s="98" t="s">
        <v>1039</v>
      </c>
      <c r="Q153" s="91" t="n">
        <v>1</v>
      </c>
    </row>
    <row r="154" s="91" customFormat="true" ht="12.75" hidden="false" customHeight="false" outlineLevel="0" collapsed="false">
      <c r="A154" s="91" t="s">
        <v>718</v>
      </c>
      <c r="B154" s="91" t="s">
        <v>1044</v>
      </c>
      <c r="C154" s="91" t="s">
        <v>731</v>
      </c>
      <c r="D154" s="91" t="s">
        <v>732</v>
      </c>
      <c r="E154" s="91" t="s">
        <v>200</v>
      </c>
      <c r="F154" s="91" t="n">
        <v>2012</v>
      </c>
      <c r="G154" s="91" t="n">
        <v>18000</v>
      </c>
      <c r="H154" s="91" t="n">
        <v>8770</v>
      </c>
      <c r="I154" s="91" t="s">
        <v>722</v>
      </c>
      <c r="J154" s="95" t="n">
        <v>44866</v>
      </c>
      <c r="K154" s="91" t="s">
        <v>356</v>
      </c>
      <c r="M154" s="91" t="s">
        <v>1038</v>
      </c>
      <c r="N154" s="91" t="s">
        <v>358</v>
      </c>
      <c r="O154" s="98" t="s">
        <v>1039</v>
      </c>
      <c r="Q154" s="91" t="n">
        <v>1</v>
      </c>
    </row>
    <row r="155" s="91" customFormat="true" ht="12.75" hidden="false" customHeight="false" outlineLevel="0" collapsed="false">
      <c r="A155" s="91" t="s">
        <v>718</v>
      </c>
      <c r="B155" s="91" t="s">
        <v>1045</v>
      </c>
      <c r="C155" s="91" t="s">
        <v>731</v>
      </c>
      <c r="D155" s="91" t="s">
        <v>732</v>
      </c>
      <c r="E155" s="91" t="s">
        <v>200</v>
      </c>
      <c r="F155" s="91" t="n">
        <v>2012</v>
      </c>
      <c r="G155" s="91" t="n">
        <v>18000</v>
      </c>
      <c r="H155" s="91" t="n">
        <v>8840</v>
      </c>
      <c r="I155" s="91" t="s">
        <v>722</v>
      </c>
      <c r="J155" s="95" t="n">
        <v>44890</v>
      </c>
      <c r="K155" s="91" t="s">
        <v>356</v>
      </c>
      <c r="M155" s="91" t="s">
        <v>1038</v>
      </c>
      <c r="N155" s="91" t="s">
        <v>358</v>
      </c>
      <c r="O155" s="98" t="s">
        <v>1039</v>
      </c>
      <c r="Q155" s="91" t="n">
        <v>1</v>
      </c>
    </row>
    <row r="156" s="91" customFormat="true" ht="12.75" hidden="false" customHeight="false" outlineLevel="0" collapsed="false">
      <c r="A156" s="91" t="s">
        <v>718</v>
      </c>
      <c r="B156" s="91" t="s">
        <v>1046</v>
      </c>
      <c r="C156" s="91" t="s">
        <v>731</v>
      </c>
      <c r="D156" s="91" t="s">
        <v>732</v>
      </c>
      <c r="E156" s="91" t="s">
        <v>200</v>
      </c>
      <c r="F156" s="91" t="n">
        <v>2012</v>
      </c>
      <c r="G156" s="91" t="n">
        <v>18000</v>
      </c>
      <c r="H156" s="91" t="n">
        <v>8840</v>
      </c>
      <c r="I156" s="91" t="s">
        <v>722</v>
      </c>
      <c r="J156" s="95" t="n">
        <v>44893</v>
      </c>
      <c r="K156" s="91" t="s">
        <v>356</v>
      </c>
      <c r="M156" s="91" t="s">
        <v>1038</v>
      </c>
      <c r="N156" s="91" t="s">
        <v>358</v>
      </c>
      <c r="O156" s="98" t="s">
        <v>1039</v>
      </c>
      <c r="Q156" s="91" t="n">
        <v>1</v>
      </c>
    </row>
    <row r="157" s="91" customFormat="true" ht="12.75" hidden="false" customHeight="false" outlineLevel="0" collapsed="false">
      <c r="A157" s="91" t="s">
        <v>718</v>
      </c>
      <c r="B157" s="91" t="s">
        <v>1047</v>
      </c>
      <c r="C157" s="91" t="s">
        <v>731</v>
      </c>
      <c r="D157" s="91" t="s">
        <v>732</v>
      </c>
      <c r="E157" s="91" t="s">
        <v>200</v>
      </c>
      <c r="F157" s="91" t="n">
        <v>2012</v>
      </c>
      <c r="G157" s="91" t="n">
        <v>18000</v>
      </c>
      <c r="H157" s="91" t="n">
        <v>8100</v>
      </c>
      <c r="I157" s="91" t="s">
        <v>722</v>
      </c>
      <c r="J157" s="95" t="n">
        <v>44901</v>
      </c>
      <c r="K157" s="91" t="s">
        <v>356</v>
      </c>
      <c r="M157" s="91" t="s">
        <v>1038</v>
      </c>
      <c r="N157" s="91" t="s">
        <v>358</v>
      </c>
      <c r="O157" s="98" t="s">
        <v>1039</v>
      </c>
      <c r="Q157" s="91" t="n">
        <v>1</v>
      </c>
    </row>
    <row r="158" s="91" customFormat="true" ht="12.75" hidden="false" customHeight="false" outlineLevel="0" collapsed="false">
      <c r="A158" s="91" t="s">
        <v>718</v>
      </c>
      <c r="B158" s="91" t="s">
        <v>1048</v>
      </c>
      <c r="C158" s="91" t="s">
        <v>731</v>
      </c>
      <c r="D158" s="91" t="s">
        <v>732</v>
      </c>
      <c r="E158" s="91" t="s">
        <v>200</v>
      </c>
      <c r="F158" s="91" t="n">
        <v>2016</v>
      </c>
      <c r="G158" s="91" t="n">
        <v>18000</v>
      </c>
      <c r="H158" s="91" t="n">
        <v>8601</v>
      </c>
      <c r="I158" s="91" t="s">
        <v>722</v>
      </c>
      <c r="J158" s="95" t="n">
        <v>44908</v>
      </c>
      <c r="K158" s="91" t="s">
        <v>356</v>
      </c>
      <c r="M158" s="91" t="s">
        <v>1038</v>
      </c>
      <c r="N158" s="91" t="s">
        <v>358</v>
      </c>
      <c r="O158" s="98" t="s">
        <v>1039</v>
      </c>
      <c r="Q158" s="91" t="n">
        <v>1</v>
      </c>
    </row>
    <row r="159" customFormat="false" ht="12.75" hidden="false" customHeight="false" outlineLevel="0" collapsed="false">
      <c r="A159" s="91" t="s">
        <v>718</v>
      </c>
      <c r="B159" s="91" t="s">
        <v>1049</v>
      </c>
      <c r="C159" s="91" t="s">
        <v>731</v>
      </c>
      <c r="D159" s="91" t="s">
        <v>732</v>
      </c>
      <c r="E159" s="91" t="s">
        <v>200</v>
      </c>
      <c r="F159" s="91" t="n">
        <v>2016</v>
      </c>
      <c r="G159" s="91" t="n">
        <v>18000</v>
      </c>
      <c r="H159" s="91" t="n">
        <v>8601</v>
      </c>
      <c r="I159" s="91" t="s">
        <v>722</v>
      </c>
      <c r="J159" s="95" t="n">
        <v>44910</v>
      </c>
      <c r="K159" s="91" t="s">
        <v>356</v>
      </c>
      <c r="L159" s="91" t="s">
        <v>1050</v>
      </c>
      <c r="M159" s="91" t="s">
        <v>1038</v>
      </c>
      <c r="N159" s="91" t="s">
        <v>358</v>
      </c>
      <c r="O159" s="98" t="s">
        <v>1039</v>
      </c>
      <c r="Q159" s="91" t="n">
        <v>1</v>
      </c>
    </row>
    <row r="160" customFormat="false" ht="12.75" hidden="false" customHeight="false" outlineLevel="0" collapsed="false">
      <c r="A160" s="91" t="s">
        <v>718</v>
      </c>
      <c r="B160" s="91" t="s">
        <v>1051</v>
      </c>
      <c r="C160" s="91" t="s">
        <v>727</v>
      </c>
      <c r="D160" s="91" t="s">
        <v>1052</v>
      </c>
      <c r="E160" s="91" t="s">
        <v>360</v>
      </c>
      <c r="F160" s="91" t="n">
        <v>2015</v>
      </c>
      <c r="G160" s="91" t="n">
        <v>18600</v>
      </c>
      <c r="H160" s="91" t="n">
        <v>8696</v>
      </c>
      <c r="I160" s="91" t="s">
        <v>722</v>
      </c>
      <c r="J160" s="95" t="n">
        <v>44727</v>
      </c>
      <c r="K160" s="91" t="s">
        <v>359</v>
      </c>
      <c r="L160" s="91" t="s">
        <v>360</v>
      </c>
      <c r="M160" s="91" t="s">
        <v>1053</v>
      </c>
      <c r="N160" s="91" t="s">
        <v>361</v>
      </c>
      <c r="O160" s="96" t="str">
        <f aca="false">CO_ORDINATES(N160)</f>
        <v>55.8572527,26.5478199</v>
      </c>
      <c r="Q160" s="91" t="n">
        <v>1</v>
      </c>
    </row>
    <row r="161" s="91" customFormat="true" ht="12.75" hidden="false" customHeight="false" outlineLevel="0" collapsed="false">
      <c r="A161" s="91" t="s">
        <v>718</v>
      </c>
      <c r="B161" s="91" t="s">
        <v>1054</v>
      </c>
      <c r="C161" s="91" t="s">
        <v>720</v>
      </c>
      <c r="D161" s="91" t="s">
        <v>721</v>
      </c>
      <c r="E161" s="91" t="s">
        <v>351</v>
      </c>
      <c r="F161" s="91" t="n">
        <v>2007</v>
      </c>
      <c r="G161" s="91" t="n">
        <v>20500</v>
      </c>
      <c r="H161" s="91" t="n">
        <v>7800</v>
      </c>
      <c r="I161" s="91" t="s">
        <v>722</v>
      </c>
      <c r="J161" s="95" t="n">
        <v>44831</v>
      </c>
      <c r="K161" s="91" t="s">
        <v>362</v>
      </c>
      <c r="M161" s="91" t="s">
        <v>1055</v>
      </c>
      <c r="N161" s="91" t="s">
        <v>364</v>
      </c>
      <c r="O161" s="96" t="str">
        <f aca="false">CO_ORDINATES(N161)</f>
        <v>55.8948525,26.5596421</v>
      </c>
      <c r="Q161" s="91" t="n">
        <v>1</v>
      </c>
    </row>
    <row r="162" s="91" customFormat="true" ht="12.75" hidden="false" customHeight="false" outlineLevel="0" collapsed="false">
      <c r="A162" s="91" t="s">
        <v>718</v>
      </c>
      <c r="B162" s="91" t="s">
        <v>1056</v>
      </c>
      <c r="C162" s="91" t="s">
        <v>933</v>
      </c>
      <c r="D162" s="91" t="s">
        <v>960</v>
      </c>
      <c r="E162" s="91" t="s">
        <v>961</v>
      </c>
      <c r="F162" s="91" t="n">
        <v>2006</v>
      </c>
      <c r="G162" s="91" t="n">
        <v>19000</v>
      </c>
      <c r="H162" s="91" t="n">
        <v>7500</v>
      </c>
      <c r="I162" s="91" t="s">
        <v>722</v>
      </c>
      <c r="J162" s="95" t="n">
        <v>44792</v>
      </c>
      <c r="K162" s="91" t="s">
        <v>362</v>
      </c>
      <c r="M162" s="91" t="s">
        <v>1055</v>
      </c>
      <c r="N162" s="91" t="s">
        <v>364</v>
      </c>
      <c r="O162" s="96" t="str">
        <f aca="false">CO_ORDINATES(N162)</f>
        <v>55.8948525,26.5596421</v>
      </c>
      <c r="Q162" s="91" t="n">
        <v>1</v>
      </c>
    </row>
    <row r="163" s="91" customFormat="true" ht="12.75" hidden="false" customHeight="false" outlineLevel="0" collapsed="false">
      <c r="A163" s="91" t="s">
        <v>718</v>
      </c>
      <c r="B163" s="91" t="s">
        <v>1057</v>
      </c>
      <c r="C163" s="91" t="s">
        <v>727</v>
      </c>
      <c r="D163" s="91" t="s">
        <v>1058</v>
      </c>
      <c r="E163" s="91" t="s">
        <v>1059</v>
      </c>
      <c r="F163" s="91" t="n">
        <v>2008</v>
      </c>
      <c r="G163" s="91" t="n">
        <v>19000</v>
      </c>
      <c r="H163" s="91" t="n">
        <v>7400</v>
      </c>
      <c r="I163" s="91" t="s">
        <v>722</v>
      </c>
      <c r="J163" s="95" t="n">
        <v>44965</v>
      </c>
      <c r="K163" s="91" t="s">
        <v>362</v>
      </c>
      <c r="M163" s="91" t="s">
        <v>1055</v>
      </c>
      <c r="N163" s="91" t="s">
        <v>364</v>
      </c>
      <c r="O163" s="96" t="str">
        <f aca="false">CO_ORDINATES(N163)</f>
        <v>55.8948525,26.5596421</v>
      </c>
      <c r="Q163" s="91" t="n">
        <v>1</v>
      </c>
    </row>
    <row r="164" s="91" customFormat="true" ht="12.75" hidden="false" customHeight="false" outlineLevel="0" collapsed="false">
      <c r="A164" s="91" t="s">
        <v>718</v>
      </c>
      <c r="B164" s="91" t="s">
        <v>1060</v>
      </c>
      <c r="C164" s="91" t="s">
        <v>727</v>
      </c>
      <c r="D164" s="91" t="s">
        <v>786</v>
      </c>
      <c r="E164" s="91" t="s">
        <v>264</v>
      </c>
      <c r="F164" s="91" t="n">
        <v>2007</v>
      </c>
      <c r="G164" s="91" t="n">
        <v>19000</v>
      </c>
      <c r="H164" s="91" t="n">
        <v>8450</v>
      </c>
      <c r="I164" s="91" t="s">
        <v>722</v>
      </c>
      <c r="J164" s="95" t="n">
        <v>44845</v>
      </c>
      <c r="K164" s="91" t="s">
        <v>362</v>
      </c>
      <c r="M164" s="91" t="s">
        <v>1055</v>
      </c>
      <c r="N164" s="91" t="s">
        <v>364</v>
      </c>
      <c r="O164" s="96" t="str">
        <f aca="false">CO_ORDINATES(N164)</f>
        <v>55.8948525,26.5596421</v>
      </c>
      <c r="Q164" s="91" t="n">
        <v>1</v>
      </c>
    </row>
    <row r="165" s="91" customFormat="true" ht="12.75" hidden="false" customHeight="false" outlineLevel="0" collapsed="false">
      <c r="A165" s="91" t="s">
        <v>718</v>
      </c>
      <c r="B165" s="91" t="s">
        <v>1061</v>
      </c>
      <c r="C165" s="91" t="s">
        <v>727</v>
      </c>
      <c r="D165" s="91" t="s">
        <v>806</v>
      </c>
      <c r="E165" s="91" t="s">
        <v>436</v>
      </c>
      <c r="F165" s="91" t="n">
        <v>2010</v>
      </c>
      <c r="G165" s="91" t="n">
        <v>18600</v>
      </c>
      <c r="H165" s="91" t="n">
        <v>8210</v>
      </c>
      <c r="I165" s="91" t="s">
        <v>722</v>
      </c>
      <c r="J165" s="95" t="n">
        <v>45070</v>
      </c>
      <c r="K165" s="91" t="s">
        <v>362</v>
      </c>
      <c r="M165" s="91" t="s">
        <v>1055</v>
      </c>
      <c r="N165" s="91" t="s">
        <v>364</v>
      </c>
      <c r="O165" s="96" t="str">
        <f aca="false">CO_ORDINATES(N165)</f>
        <v>55.8948525,26.5596421</v>
      </c>
      <c r="Q165" s="91" t="n">
        <v>1</v>
      </c>
    </row>
    <row r="166" customFormat="false" ht="12.75" hidden="false" customHeight="false" outlineLevel="0" collapsed="false">
      <c r="A166" s="91" t="s">
        <v>718</v>
      </c>
      <c r="B166" s="91" t="s">
        <v>1062</v>
      </c>
      <c r="C166" s="91" t="s">
        <v>748</v>
      </c>
      <c r="D166" s="91" t="s">
        <v>749</v>
      </c>
      <c r="E166" s="91" t="s">
        <v>354</v>
      </c>
      <c r="F166" s="91" t="n">
        <v>2013</v>
      </c>
      <c r="G166" s="91" t="n">
        <v>18000</v>
      </c>
      <c r="H166" s="91" t="n">
        <v>8380</v>
      </c>
      <c r="I166" s="91" t="s">
        <v>722</v>
      </c>
      <c r="J166" s="95" t="n">
        <v>44875</v>
      </c>
      <c r="K166" s="91" t="s">
        <v>362</v>
      </c>
      <c r="L166" s="91" t="s">
        <v>363</v>
      </c>
      <c r="M166" s="91" t="s">
        <v>1055</v>
      </c>
      <c r="N166" s="91" t="s">
        <v>364</v>
      </c>
      <c r="O166" s="96" t="str">
        <f aca="false">CO_ORDINATES(N166)</f>
        <v>55.8948525,26.5596421</v>
      </c>
      <c r="Q166" s="91" t="n">
        <v>1</v>
      </c>
    </row>
    <row r="167" customFormat="false" ht="12.75" hidden="false" customHeight="false" outlineLevel="0" collapsed="false">
      <c r="A167" s="91" t="s">
        <v>718</v>
      </c>
      <c r="B167" s="91" t="s">
        <v>1063</v>
      </c>
      <c r="C167" s="91" t="s">
        <v>727</v>
      </c>
      <c r="D167" s="91" t="s">
        <v>920</v>
      </c>
      <c r="E167" s="91" t="s">
        <v>298</v>
      </c>
      <c r="F167" s="91" t="n">
        <v>2010</v>
      </c>
      <c r="G167" s="91" t="n">
        <v>19000</v>
      </c>
      <c r="H167" s="91" t="n">
        <v>8450</v>
      </c>
      <c r="I167" s="91" t="s">
        <v>722</v>
      </c>
      <c r="J167" s="95" t="n">
        <v>44960</v>
      </c>
      <c r="K167" s="91" t="s">
        <v>365</v>
      </c>
      <c r="L167" s="91" t="s">
        <v>298</v>
      </c>
      <c r="M167" s="91" t="s">
        <v>1064</v>
      </c>
      <c r="N167" s="91" t="s">
        <v>366</v>
      </c>
      <c r="O167" s="96" t="str">
        <f aca="false">CO_ORDINATES(N167)</f>
        <v>55.87018085,26.514773145536637</v>
      </c>
      <c r="Q167" s="91" t="n">
        <v>1</v>
      </c>
    </row>
    <row r="168" customFormat="false" ht="12.75" hidden="false" customHeight="false" outlineLevel="0" collapsed="false">
      <c r="A168" s="97" t="s">
        <v>718</v>
      </c>
      <c r="B168" s="97" t="s">
        <v>1065</v>
      </c>
      <c r="C168" s="97" t="s">
        <v>727</v>
      </c>
      <c r="D168" s="97" t="s">
        <v>906</v>
      </c>
      <c r="E168" s="97" t="s">
        <v>907</v>
      </c>
      <c r="F168" s="97" t="n">
        <v>2006</v>
      </c>
      <c r="G168" s="97" t="n">
        <v>28500</v>
      </c>
      <c r="H168" s="97" t="n">
        <v>9650</v>
      </c>
      <c r="I168" s="97" t="s">
        <v>722</v>
      </c>
      <c r="J168" s="99" t="n">
        <v>44918</v>
      </c>
      <c r="K168" s="97" t="s">
        <v>367</v>
      </c>
      <c r="L168" s="97"/>
      <c r="M168" s="97" t="s">
        <v>1066</v>
      </c>
      <c r="N168" s="97" t="s">
        <v>369</v>
      </c>
      <c r="O168" s="98" t="e">
        <f aca="false">CO_ORDINATES(N168)</f>
        <v>#VALUE!</v>
      </c>
      <c r="P168" s="97"/>
      <c r="Q168" s="97" t="n">
        <v>1</v>
      </c>
    </row>
    <row r="169" customFormat="false" ht="12.75" hidden="false" customHeight="false" outlineLevel="0" collapsed="false">
      <c r="A169" s="97" t="s">
        <v>718</v>
      </c>
      <c r="B169" s="97" t="s">
        <v>1067</v>
      </c>
      <c r="C169" s="97" t="s">
        <v>727</v>
      </c>
      <c r="D169" s="97" t="s">
        <v>786</v>
      </c>
      <c r="E169" s="97" t="s">
        <v>264</v>
      </c>
      <c r="F169" s="97" t="n">
        <v>2007</v>
      </c>
      <c r="G169" s="97" t="n">
        <v>26124</v>
      </c>
      <c r="H169" s="97" t="n">
        <v>9340</v>
      </c>
      <c r="I169" s="97" t="s">
        <v>722</v>
      </c>
      <c r="J169" s="99" t="n">
        <v>44777</v>
      </c>
      <c r="K169" s="97" t="s">
        <v>367</v>
      </c>
      <c r="L169" s="97"/>
      <c r="M169" s="97" t="s">
        <v>1066</v>
      </c>
      <c r="N169" s="97" t="s">
        <v>369</v>
      </c>
      <c r="O169" s="98" t="e">
        <f aca="false">CO_ORDINATES(N169)</f>
        <v>#VALUE!</v>
      </c>
      <c r="P169" s="97"/>
      <c r="Q169" s="97" t="n">
        <v>1</v>
      </c>
    </row>
    <row r="170" customFormat="false" ht="12.75" hidden="false" customHeight="false" outlineLevel="0" collapsed="false">
      <c r="A170" s="97" t="s">
        <v>718</v>
      </c>
      <c r="B170" s="97" t="s">
        <v>1068</v>
      </c>
      <c r="C170" s="97" t="s">
        <v>727</v>
      </c>
      <c r="D170" s="97" t="s">
        <v>1069</v>
      </c>
      <c r="E170" s="97" t="s">
        <v>1070</v>
      </c>
      <c r="F170" s="97" t="n">
        <v>2000</v>
      </c>
      <c r="G170" s="97" t="n">
        <v>26000</v>
      </c>
      <c r="H170" s="97" t="n">
        <v>9090</v>
      </c>
      <c r="I170" s="97" t="s">
        <v>722</v>
      </c>
      <c r="J170" s="99" t="n">
        <v>44960</v>
      </c>
      <c r="K170" s="97" t="s">
        <v>367</v>
      </c>
      <c r="L170" s="97"/>
      <c r="M170" s="97" t="s">
        <v>1066</v>
      </c>
      <c r="N170" s="97" t="s">
        <v>369</v>
      </c>
      <c r="O170" s="98" t="e">
        <f aca="false">CO_ORDINATES(N170)</f>
        <v>#VALUE!</v>
      </c>
      <c r="P170" s="97"/>
      <c r="Q170" s="97" t="n">
        <v>1</v>
      </c>
    </row>
    <row r="171" customFormat="false" ht="12.75" hidden="false" customHeight="false" outlineLevel="0" collapsed="false">
      <c r="A171" s="97" t="s">
        <v>718</v>
      </c>
      <c r="B171" s="97" t="s">
        <v>1071</v>
      </c>
      <c r="C171" s="97" t="s">
        <v>727</v>
      </c>
      <c r="D171" s="97" t="s">
        <v>1069</v>
      </c>
      <c r="E171" s="97" t="s">
        <v>1070</v>
      </c>
      <c r="F171" s="97" t="n">
        <v>2001</v>
      </c>
      <c r="G171" s="97" t="n">
        <v>26000</v>
      </c>
      <c r="H171" s="97" t="n">
        <v>12700</v>
      </c>
      <c r="I171" s="97" t="s">
        <v>722</v>
      </c>
      <c r="J171" s="99" t="n">
        <v>44966</v>
      </c>
      <c r="K171" s="97" t="s">
        <v>367</v>
      </c>
      <c r="L171" s="97"/>
      <c r="M171" s="97" t="s">
        <v>1066</v>
      </c>
      <c r="N171" s="97" t="s">
        <v>369</v>
      </c>
      <c r="O171" s="98" t="e">
        <f aca="false">CO_ORDINATES(N171)</f>
        <v>#VALUE!</v>
      </c>
      <c r="P171" s="97"/>
      <c r="Q171" s="97" t="n">
        <v>1</v>
      </c>
    </row>
    <row r="172" customFormat="false" ht="12.75" hidden="false" customHeight="false" outlineLevel="0" collapsed="false">
      <c r="A172" s="97" t="s">
        <v>718</v>
      </c>
      <c r="B172" s="97" t="s">
        <v>1072</v>
      </c>
      <c r="C172" s="97" t="s">
        <v>727</v>
      </c>
      <c r="D172" s="97" t="s">
        <v>1073</v>
      </c>
      <c r="E172" s="97" t="s">
        <v>1074</v>
      </c>
      <c r="F172" s="97" t="n">
        <v>2005</v>
      </c>
      <c r="G172" s="97" t="n">
        <v>26000</v>
      </c>
      <c r="H172" s="97" t="n">
        <v>10240</v>
      </c>
      <c r="I172" s="97" t="s">
        <v>722</v>
      </c>
      <c r="J172" s="99" t="n">
        <v>44760</v>
      </c>
      <c r="K172" s="97" t="s">
        <v>367</v>
      </c>
      <c r="L172" s="97"/>
      <c r="M172" s="97" t="s">
        <v>1066</v>
      </c>
      <c r="N172" s="97" t="s">
        <v>369</v>
      </c>
      <c r="O172" s="98" t="e">
        <f aca="false">CO_ORDINATES(N172)</f>
        <v>#VALUE!</v>
      </c>
      <c r="P172" s="97"/>
      <c r="Q172" s="97" t="n">
        <v>1</v>
      </c>
    </row>
    <row r="173" s="91" customFormat="true" ht="12.75" hidden="false" customHeight="false" outlineLevel="0" collapsed="false">
      <c r="A173" s="91" t="s">
        <v>718</v>
      </c>
      <c r="B173" s="91" t="s">
        <v>1075</v>
      </c>
      <c r="C173" s="91" t="s">
        <v>771</v>
      </c>
      <c r="D173" s="91" t="s">
        <v>898</v>
      </c>
      <c r="E173" s="91" t="s">
        <v>284</v>
      </c>
      <c r="F173" s="91" t="n">
        <v>2007</v>
      </c>
      <c r="G173" s="91" t="n">
        <v>18000</v>
      </c>
      <c r="H173" s="91" t="n">
        <v>7550</v>
      </c>
      <c r="I173" s="91" t="s">
        <v>722</v>
      </c>
      <c r="J173" s="95" t="n">
        <v>44749</v>
      </c>
      <c r="K173" s="91" t="s">
        <v>367</v>
      </c>
      <c r="M173" s="91" t="s">
        <v>1066</v>
      </c>
      <c r="N173" s="91" t="s">
        <v>1076</v>
      </c>
      <c r="O173" s="96" t="str">
        <f aca="false">CO_ORDINATES(N173)</f>
        <v>55.823768,26.7910253</v>
      </c>
      <c r="Q173" s="91" t="n">
        <v>1</v>
      </c>
    </row>
    <row r="174" customFormat="false" ht="12.75" hidden="false" customHeight="false" outlineLevel="0" collapsed="false">
      <c r="A174" s="91" t="s">
        <v>718</v>
      </c>
      <c r="B174" s="91" t="s">
        <v>1077</v>
      </c>
      <c r="C174" s="91" t="s">
        <v>727</v>
      </c>
      <c r="D174" s="91" t="s">
        <v>786</v>
      </c>
      <c r="E174" s="91" t="s">
        <v>264</v>
      </c>
      <c r="F174" s="91" t="n">
        <v>2006</v>
      </c>
      <c r="G174" s="91" t="n">
        <v>18000</v>
      </c>
      <c r="H174" s="91" t="n">
        <v>7100</v>
      </c>
      <c r="I174" s="91" t="s">
        <v>722</v>
      </c>
      <c r="J174" s="95" t="n">
        <v>44810</v>
      </c>
      <c r="K174" s="91" t="s">
        <v>367</v>
      </c>
      <c r="L174" s="91" t="s">
        <v>368</v>
      </c>
      <c r="M174" s="91" t="s">
        <v>1066</v>
      </c>
      <c r="N174" s="91" t="s">
        <v>369</v>
      </c>
      <c r="O174" s="98" t="e">
        <f aca="false">CO_ORDINATES(N174)</f>
        <v>#VALUE!</v>
      </c>
      <c r="Q174" s="91" t="n">
        <v>1</v>
      </c>
    </row>
    <row r="175" customFormat="false" ht="12.75" hidden="false" customHeight="false" outlineLevel="0" collapsed="false">
      <c r="A175" s="91" t="s">
        <v>718</v>
      </c>
      <c r="B175" s="91" t="s">
        <v>1078</v>
      </c>
      <c r="C175" s="91" t="s">
        <v>720</v>
      </c>
      <c r="D175" s="91" t="s">
        <v>1079</v>
      </c>
      <c r="E175" s="91" t="s">
        <v>371</v>
      </c>
      <c r="F175" s="91" t="n">
        <v>2006</v>
      </c>
      <c r="G175" s="91" t="n">
        <v>18000</v>
      </c>
      <c r="H175" s="91" t="n">
        <v>7490</v>
      </c>
      <c r="I175" s="91" t="s">
        <v>722</v>
      </c>
      <c r="J175" s="95" t="n">
        <v>44915</v>
      </c>
      <c r="K175" s="91" t="s">
        <v>370</v>
      </c>
      <c r="L175" s="91" t="s">
        <v>371</v>
      </c>
      <c r="M175" s="91" t="s">
        <v>1080</v>
      </c>
      <c r="N175" s="91" t="s">
        <v>372</v>
      </c>
      <c r="O175" s="96" t="str">
        <f aca="false">CO_ORDINATES(N175)</f>
        <v>55.8878514,26.5456577</v>
      </c>
      <c r="Q175" s="91" t="n">
        <v>1</v>
      </c>
    </row>
    <row r="176" s="91" customFormat="true" ht="12.75" hidden="false" customHeight="false" outlineLevel="0" collapsed="false">
      <c r="A176" s="91" t="s">
        <v>718</v>
      </c>
      <c r="C176" s="91" t="s">
        <v>731</v>
      </c>
      <c r="D176" s="91" t="s">
        <v>732</v>
      </c>
      <c r="E176" s="91" t="s">
        <v>200</v>
      </c>
      <c r="F176" s="91" t="n">
        <v>2015</v>
      </c>
      <c r="G176" s="91" t="n">
        <v>21000</v>
      </c>
      <c r="H176" s="91" t="n">
        <v>8673</v>
      </c>
      <c r="I176" s="91" t="s">
        <v>722</v>
      </c>
      <c r="J176" s="95" t="n">
        <v>44951</v>
      </c>
      <c r="K176" s="91" t="s">
        <v>373</v>
      </c>
      <c r="M176" s="91" t="s">
        <v>1081</v>
      </c>
      <c r="N176" s="91" t="s">
        <v>375</v>
      </c>
      <c r="O176" s="96" t="str">
        <f aca="false">CO_ORDINATES(N176)</f>
        <v>55.8863693,26.542112</v>
      </c>
      <c r="Q176" s="91" t="n">
        <v>1</v>
      </c>
    </row>
    <row r="177" s="91" customFormat="true" ht="12.75" hidden="false" customHeight="false" outlineLevel="0" collapsed="false">
      <c r="A177" s="91" t="s">
        <v>718</v>
      </c>
      <c r="C177" s="91" t="s">
        <v>731</v>
      </c>
      <c r="D177" s="91" t="s">
        <v>732</v>
      </c>
      <c r="E177" s="91" t="s">
        <v>200</v>
      </c>
      <c r="F177" s="91" t="n">
        <v>2014</v>
      </c>
      <c r="G177" s="91" t="n">
        <v>20500</v>
      </c>
      <c r="H177" s="91" t="n">
        <v>8501</v>
      </c>
      <c r="I177" s="91" t="s">
        <v>722</v>
      </c>
      <c r="J177" s="95" t="n">
        <v>44761</v>
      </c>
      <c r="K177" s="91" t="s">
        <v>373</v>
      </c>
      <c r="M177" s="91" t="s">
        <v>1081</v>
      </c>
      <c r="N177" s="91" t="s">
        <v>375</v>
      </c>
      <c r="O177" s="96" t="str">
        <f aca="false">CO_ORDINATES(N177)</f>
        <v>55.8863693,26.542112</v>
      </c>
      <c r="Q177" s="91" t="n">
        <v>1</v>
      </c>
    </row>
    <row r="178" s="91" customFormat="true" ht="12.75" hidden="false" customHeight="false" outlineLevel="0" collapsed="false">
      <c r="A178" s="91" t="s">
        <v>718</v>
      </c>
      <c r="B178" s="91" t="s">
        <v>1082</v>
      </c>
      <c r="C178" s="91" t="s">
        <v>771</v>
      </c>
      <c r="D178" s="91" t="s">
        <v>1083</v>
      </c>
      <c r="E178" s="91" t="s">
        <v>1084</v>
      </c>
      <c r="F178" s="91" t="n">
        <v>2009</v>
      </c>
      <c r="G178" s="91" t="n">
        <v>18000</v>
      </c>
      <c r="H178" s="91" t="n">
        <v>8090</v>
      </c>
      <c r="I178" s="91" t="s">
        <v>868</v>
      </c>
      <c r="J178" s="95" t="n">
        <v>44971</v>
      </c>
      <c r="K178" s="91" t="s">
        <v>373</v>
      </c>
      <c r="M178" s="91" t="s">
        <v>1081</v>
      </c>
      <c r="N178" s="91" t="s">
        <v>375</v>
      </c>
      <c r="O178" s="96" t="str">
        <f aca="false">CO_ORDINATES(N178)</f>
        <v>55.8863693,26.542112</v>
      </c>
      <c r="Q178" s="91" t="n">
        <v>1</v>
      </c>
    </row>
    <row r="179" s="91" customFormat="true" ht="12.75" hidden="false" customHeight="false" outlineLevel="0" collapsed="false">
      <c r="A179" s="91" t="s">
        <v>718</v>
      </c>
      <c r="C179" s="91" t="s">
        <v>748</v>
      </c>
      <c r="D179" s="91" t="s">
        <v>749</v>
      </c>
      <c r="E179" s="91" t="s">
        <v>354</v>
      </c>
      <c r="F179" s="91" t="n">
        <v>2015</v>
      </c>
      <c r="G179" s="91" t="n">
        <v>18000</v>
      </c>
      <c r="H179" s="91" t="n">
        <v>8422</v>
      </c>
      <c r="I179" s="91" t="s">
        <v>722</v>
      </c>
      <c r="J179" s="95" t="n">
        <v>44705</v>
      </c>
      <c r="K179" s="91" t="s">
        <v>373</v>
      </c>
      <c r="M179" s="91" t="s">
        <v>1081</v>
      </c>
      <c r="N179" s="91" t="s">
        <v>375</v>
      </c>
      <c r="O179" s="96" t="str">
        <f aca="false">CO_ORDINATES(N179)</f>
        <v>55.8863693,26.542112</v>
      </c>
      <c r="Q179" s="91" t="n">
        <v>1</v>
      </c>
    </row>
    <row r="180" s="91" customFormat="true" ht="12.75" hidden="false" customHeight="false" outlineLevel="0" collapsed="false">
      <c r="A180" s="91" t="s">
        <v>718</v>
      </c>
      <c r="C180" s="91" t="s">
        <v>748</v>
      </c>
      <c r="D180" s="91" t="s">
        <v>749</v>
      </c>
      <c r="E180" s="91" t="s">
        <v>354</v>
      </c>
      <c r="F180" s="91" t="n">
        <v>2015</v>
      </c>
      <c r="G180" s="91" t="n">
        <v>18000</v>
      </c>
      <c r="H180" s="91" t="n">
        <v>8412</v>
      </c>
      <c r="I180" s="91" t="s">
        <v>722</v>
      </c>
      <c r="J180" s="95" t="n">
        <v>44778</v>
      </c>
      <c r="K180" s="91" t="s">
        <v>373</v>
      </c>
      <c r="M180" s="91" t="s">
        <v>1081</v>
      </c>
      <c r="N180" s="91" t="s">
        <v>375</v>
      </c>
      <c r="O180" s="96" t="str">
        <f aca="false">CO_ORDINATES(N180)</f>
        <v>55.8863693,26.542112</v>
      </c>
      <c r="Q180" s="91" t="n">
        <v>1</v>
      </c>
    </row>
    <row r="181" customFormat="false" ht="12.75" hidden="false" customHeight="false" outlineLevel="0" collapsed="false">
      <c r="A181" s="91" t="s">
        <v>718</v>
      </c>
      <c r="C181" s="91" t="s">
        <v>748</v>
      </c>
      <c r="D181" s="91" t="s">
        <v>749</v>
      </c>
      <c r="E181" s="91" t="s">
        <v>354</v>
      </c>
      <c r="F181" s="91" t="n">
        <v>2015</v>
      </c>
      <c r="G181" s="91" t="n">
        <v>18000</v>
      </c>
      <c r="H181" s="91" t="n">
        <v>8420</v>
      </c>
      <c r="I181" s="91" t="s">
        <v>722</v>
      </c>
      <c r="J181" s="95" t="n">
        <v>44875</v>
      </c>
      <c r="K181" s="91" t="s">
        <v>373</v>
      </c>
      <c r="L181" s="91" t="s">
        <v>374</v>
      </c>
      <c r="M181" s="91" t="s">
        <v>1081</v>
      </c>
      <c r="N181" s="91" t="s">
        <v>375</v>
      </c>
      <c r="O181" s="96" t="str">
        <f aca="false">CO_ORDINATES(N181)</f>
        <v>55.8863693,26.542112</v>
      </c>
      <c r="Q181" s="91" t="n">
        <v>1</v>
      </c>
    </row>
    <row r="182" s="91" customFormat="true" ht="12.75" hidden="false" customHeight="false" outlineLevel="0" collapsed="false">
      <c r="A182" s="91" t="s">
        <v>718</v>
      </c>
      <c r="B182" s="91" t="s">
        <v>1085</v>
      </c>
      <c r="C182" s="91" t="s">
        <v>727</v>
      </c>
      <c r="D182" s="91" t="s">
        <v>775</v>
      </c>
      <c r="E182" s="91" t="s">
        <v>776</v>
      </c>
      <c r="F182" s="91" t="n">
        <v>2011</v>
      </c>
      <c r="G182" s="91" t="n">
        <v>19000</v>
      </c>
      <c r="H182" s="91" t="n">
        <v>8980</v>
      </c>
      <c r="I182" s="91" t="s">
        <v>722</v>
      </c>
      <c r="J182" s="95" t="n">
        <v>45008</v>
      </c>
      <c r="K182" s="91" t="s">
        <v>376</v>
      </c>
      <c r="M182" s="91" t="s">
        <v>1086</v>
      </c>
      <c r="N182" s="91" t="s">
        <v>1087</v>
      </c>
      <c r="O182" s="98" t="e">
        <f aca="false">CO_ORDINATES(N182)</f>
        <v>#VALUE!</v>
      </c>
      <c r="Q182" s="91" t="n">
        <v>1</v>
      </c>
    </row>
    <row r="183" customFormat="false" ht="12.75" hidden="false" customHeight="false" outlineLevel="0" collapsed="false">
      <c r="A183" s="91" t="s">
        <v>718</v>
      </c>
      <c r="B183" s="91" t="s">
        <v>1088</v>
      </c>
      <c r="C183" s="91" t="s">
        <v>727</v>
      </c>
      <c r="D183" s="91" t="s">
        <v>1052</v>
      </c>
      <c r="E183" s="91" t="s">
        <v>360</v>
      </c>
      <c r="F183" s="91" t="n">
        <v>2017</v>
      </c>
      <c r="G183" s="91" t="n">
        <v>18000</v>
      </c>
      <c r="H183" s="91" t="n">
        <v>8477</v>
      </c>
      <c r="I183" s="91" t="s">
        <v>722</v>
      </c>
      <c r="J183" s="95" t="n">
        <v>44782</v>
      </c>
      <c r="K183" s="91" t="s">
        <v>376</v>
      </c>
      <c r="L183" s="91" t="s">
        <v>377</v>
      </c>
      <c r="M183" s="91" t="s">
        <v>1086</v>
      </c>
      <c r="N183" s="91" t="s">
        <v>378</v>
      </c>
      <c r="O183" s="96" t="str">
        <f aca="false">CO_ORDINATES(N183)</f>
        <v>56.0027503,25.906524376410133</v>
      </c>
      <c r="Q183" s="91" t="n">
        <v>1</v>
      </c>
    </row>
    <row r="184" customFormat="false" ht="12.75" hidden="false" customHeight="false" outlineLevel="0" collapsed="false">
      <c r="A184" s="91" t="s">
        <v>718</v>
      </c>
      <c r="B184" s="91" t="s">
        <v>1089</v>
      </c>
      <c r="C184" s="91" t="s">
        <v>731</v>
      </c>
      <c r="D184" s="91" t="s">
        <v>732</v>
      </c>
      <c r="E184" s="91" t="s">
        <v>200</v>
      </c>
      <c r="F184" s="91" t="n">
        <v>2022</v>
      </c>
      <c r="G184" s="91" t="n">
        <v>18000</v>
      </c>
      <c r="H184" s="91" t="n">
        <v>8636</v>
      </c>
      <c r="I184" s="91" t="s">
        <v>722</v>
      </c>
      <c r="J184" s="95" t="n">
        <v>45044</v>
      </c>
      <c r="K184" s="91" t="s">
        <v>379</v>
      </c>
      <c r="L184" s="91" t="s">
        <v>200</v>
      </c>
      <c r="M184" s="91" t="s">
        <v>1090</v>
      </c>
      <c r="N184" s="91" t="s">
        <v>380</v>
      </c>
      <c r="O184" s="96" t="str">
        <f aca="false">CO_ORDINATES(N184)</f>
        <v>55.8714565,26.5170135</v>
      </c>
      <c r="Q184" s="91" t="n">
        <v>1</v>
      </c>
    </row>
    <row r="185" s="91" customFormat="true" ht="12.75" hidden="false" customHeight="false" outlineLevel="0" collapsed="false">
      <c r="A185" s="91" t="s">
        <v>718</v>
      </c>
      <c r="B185" s="91" t="s">
        <v>1091</v>
      </c>
      <c r="C185" s="91" t="s">
        <v>720</v>
      </c>
      <c r="D185" s="91" t="s">
        <v>721</v>
      </c>
      <c r="E185" s="91" t="s">
        <v>351</v>
      </c>
      <c r="F185" s="91" t="n">
        <v>2007</v>
      </c>
      <c r="G185" s="91" t="n">
        <v>20500</v>
      </c>
      <c r="H185" s="91" t="n">
        <v>8970</v>
      </c>
      <c r="I185" s="91" t="s">
        <v>722</v>
      </c>
      <c r="J185" s="95" t="n">
        <v>44838</v>
      </c>
      <c r="K185" s="91" t="s">
        <v>381</v>
      </c>
      <c r="M185" s="91" t="s">
        <v>1092</v>
      </c>
      <c r="N185" s="91" t="s">
        <v>383</v>
      </c>
      <c r="O185" s="96" t="str">
        <f aca="false">CO_ORDINATES(N185)</f>
        <v>55.8974126,26.5632765</v>
      </c>
      <c r="Q185" s="91" t="n">
        <v>1</v>
      </c>
    </row>
    <row r="186" s="91" customFormat="true" ht="12.75" hidden="false" customHeight="false" outlineLevel="0" collapsed="false">
      <c r="A186" s="91" t="s">
        <v>718</v>
      </c>
      <c r="B186" s="91" t="s">
        <v>1093</v>
      </c>
      <c r="C186" s="91" t="s">
        <v>720</v>
      </c>
      <c r="D186" s="91" t="s">
        <v>721</v>
      </c>
      <c r="E186" s="91" t="s">
        <v>351</v>
      </c>
      <c r="F186" s="91" t="n">
        <v>2008</v>
      </c>
      <c r="G186" s="91" t="n">
        <v>20500</v>
      </c>
      <c r="H186" s="91" t="n">
        <v>8895</v>
      </c>
      <c r="I186" s="91" t="s">
        <v>722</v>
      </c>
      <c r="J186" s="95" t="n">
        <v>44910</v>
      </c>
      <c r="K186" s="91" t="s">
        <v>381</v>
      </c>
      <c r="M186" s="91" t="s">
        <v>1092</v>
      </c>
      <c r="N186" s="91" t="s">
        <v>383</v>
      </c>
      <c r="O186" s="96" t="str">
        <f aca="false">CO_ORDINATES(N186)</f>
        <v>55.8974126,26.5632765</v>
      </c>
      <c r="Q186" s="91" t="n">
        <v>1</v>
      </c>
    </row>
    <row r="187" s="91" customFormat="true" ht="12.75" hidden="false" customHeight="false" outlineLevel="0" collapsed="false">
      <c r="A187" s="91" t="s">
        <v>718</v>
      </c>
      <c r="B187" s="91" t="s">
        <v>1094</v>
      </c>
      <c r="C187" s="91" t="s">
        <v>720</v>
      </c>
      <c r="D187" s="91" t="s">
        <v>721</v>
      </c>
      <c r="E187" s="91" t="s">
        <v>351</v>
      </c>
      <c r="F187" s="91" t="n">
        <v>2007</v>
      </c>
      <c r="G187" s="91" t="n">
        <v>20500</v>
      </c>
      <c r="H187" s="91" t="n">
        <v>7800</v>
      </c>
      <c r="I187" s="91" t="s">
        <v>722</v>
      </c>
      <c r="J187" s="95" t="n">
        <v>44985</v>
      </c>
      <c r="K187" s="91" t="s">
        <v>381</v>
      </c>
      <c r="M187" s="91" t="s">
        <v>1092</v>
      </c>
      <c r="N187" s="91" t="s">
        <v>383</v>
      </c>
      <c r="O187" s="96" t="str">
        <f aca="false">CO_ORDINATES(N187)</f>
        <v>55.8974126,26.5632765</v>
      </c>
      <c r="Q187" s="91" t="n">
        <v>1</v>
      </c>
    </row>
    <row r="188" s="91" customFormat="true" ht="12.75" hidden="false" customHeight="false" outlineLevel="0" collapsed="false">
      <c r="A188" s="91" t="s">
        <v>718</v>
      </c>
      <c r="B188" s="91" t="s">
        <v>1095</v>
      </c>
      <c r="C188" s="91" t="s">
        <v>720</v>
      </c>
      <c r="D188" s="91" t="s">
        <v>738</v>
      </c>
      <c r="E188" s="91" t="s">
        <v>206</v>
      </c>
      <c r="F188" s="91" t="n">
        <v>2007</v>
      </c>
      <c r="G188" s="91" t="n">
        <v>19000</v>
      </c>
      <c r="H188" s="91" t="n">
        <v>8220</v>
      </c>
      <c r="I188" s="91" t="s">
        <v>722</v>
      </c>
      <c r="J188" s="95" t="n">
        <v>44992</v>
      </c>
      <c r="K188" s="91" t="s">
        <v>381</v>
      </c>
      <c r="M188" s="91" t="s">
        <v>1092</v>
      </c>
      <c r="N188" s="91" t="s">
        <v>383</v>
      </c>
      <c r="O188" s="96" t="str">
        <f aca="false">CO_ORDINATES(N188)</f>
        <v>55.8974126,26.5632765</v>
      </c>
      <c r="Q188" s="91" t="n">
        <v>1</v>
      </c>
    </row>
    <row r="189" s="91" customFormat="true" ht="12.75" hidden="false" customHeight="false" outlineLevel="0" collapsed="false">
      <c r="A189" s="91" t="s">
        <v>718</v>
      </c>
      <c r="B189" s="91" t="s">
        <v>1096</v>
      </c>
      <c r="C189" s="91" t="s">
        <v>720</v>
      </c>
      <c r="D189" s="91" t="s">
        <v>721</v>
      </c>
      <c r="E189" s="91" t="s">
        <v>351</v>
      </c>
      <c r="F189" s="91" t="n">
        <v>2011</v>
      </c>
      <c r="G189" s="91" t="n">
        <v>18000</v>
      </c>
      <c r="H189" s="91" t="n">
        <v>8516</v>
      </c>
      <c r="I189" s="91" t="s">
        <v>722</v>
      </c>
      <c r="J189" s="95" t="n">
        <v>44712</v>
      </c>
      <c r="K189" s="91" t="s">
        <v>381</v>
      </c>
      <c r="M189" s="91" t="s">
        <v>1092</v>
      </c>
      <c r="N189" s="91" t="s">
        <v>383</v>
      </c>
      <c r="O189" s="96" t="str">
        <f aca="false">CO_ORDINATES(N189)</f>
        <v>55.8974126,26.5632765</v>
      </c>
      <c r="Q189" s="91" t="n">
        <v>1</v>
      </c>
    </row>
    <row r="190" customFormat="false" ht="12.75" hidden="false" customHeight="false" outlineLevel="0" collapsed="false">
      <c r="A190" s="91" t="s">
        <v>718</v>
      </c>
      <c r="B190" s="91" t="s">
        <v>1097</v>
      </c>
      <c r="C190" s="91" t="s">
        <v>720</v>
      </c>
      <c r="D190" s="91" t="s">
        <v>721</v>
      </c>
      <c r="E190" s="91" t="s">
        <v>351</v>
      </c>
      <c r="F190" s="91" t="n">
        <v>2011</v>
      </c>
      <c r="G190" s="91" t="n">
        <v>18000</v>
      </c>
      <c r="H190" s="91" t="n">
        <v>8323</v>
      </c>
      <c r="I190" s="91" t="s">
        <v>722</v>
      </c>
      <c r="J190" s="95" t="n">
        <v>44880</v>
      </c>
      <c r="K190" s="91" t="s">
        <v>381</v>
      </c>
      <c r="L190" s="91" t="s">
        <v>1098</v>
      </c>
      <c r="M190" s="91" t="s">
        <v>1092</v>
      </c>
      <c r="N190" s="91" t="s">
        <v>383</v>
      </c>
      <c r="O190" s="96" t="str">
        <f aca="false">CO_ORDINATES(N190)</f>
        <v>55.8974126,26.5632765</v>
      </c>
      <c r="Q190" s="91" t="n">
        <v>1</v>
      </c>
    </row>
    <row r="191" customFormat="false" ht="12.75" hidden="false" customHeight="false" outlineLevel="0" collapsed="false">
      <c r="A191" s="91" t="s">
        <v>718</v>
      </c>
      <c r="B191" s="91" t="s">
        <v>1099</v>
      </c>
      <c r="C191" s="91" t="s">
        <v>720</v>
      </c>
      <c r="D191" s="91" t="s">
        <v>725</v>
      </c>
      <c r="E191" s="91" t="s">
        <v>281</v>
      </c>
      <c r="F191" s="91" t="n">
        <v>2014</v>
      </c>
      <c r="G191" s="91" t="n">
        <v>19000</v>
      </c>
      <c r="H191" s="91" t="n">
        <v>8518</v>
      </c>
      <c r="I191" s="91" t="s">
        <v>722</v>
      </c>
      <c r="J191" s="95" t="n">
        <v>45007</v>
      </c>
      <c r="K191" s="91" t="s">
        <v>384</v>
      </c>
      <c r="L191" s="91" t="s">
        <v>281</v>
      </c>
      <c r="M191" s="91" t="s">
        <v>1100</v>
      </c>
      <c r="N191" s="91" t="s">
        <v>385</v>
      </c>
      <c r="O191" s="96" t="str">
        <f aca="false">CO_ORDINATES(N191)</f>
        <v>55.871875,26.566346750000008</v>
      </c>
      <c r="Q191" s="91" t="n">
        <v>1</v>
      </c>
    </row>
    <row r="192" s="91" customFormat="true" ht="12.75" hidden="false" customHeight="false" outlineLevel="0" collapsed="false">
      <c r="A192" s="91" t="s">
        <v>718</v>
      </c>
      <c r="B192" s="91" t="s">
        <v>1101</v>
      </c>
      <c r="C192" s="91" t="s">
        <v>727</v>
      </c>
      <c r="D192" s="91" t="s">
        <v>786</v>
      </c>
      <c r="E192" s="91" t="s">
        <v>264</v>
      </c>
      <c r="F192" s="91" t="n">
        <v>2011</v>
      </c>
      <c r="G192" s="91" t="n">
        <v>18600</v>
      </c>
      <c r="H192" s="91" t="n">
        <v>8560</v>
      </c>
      <c r="I192" s="91" t="s">
        <v>722</v>
      </c>
      <c r="J192" s="95" t="n">
        <v>44802</v>
      </c>
      <c r="K192" s="91" t="s">
        <v>386</v>
      </c>
      <c r="M192" s="91" t="s">
        <v>1102</v>
      </c>
      <c r="N192" s="91" t="s">
        <v>388</v>
      </c>
      <c r="O192" s="96" t="str">
        <f aca="false">CO_ORDINATES(N192)</f>
        <v>55.8937755,26.4913174</v>
      </c>
      <c r="Q192" s="91" t="n">
        <v>1</v>
      </c>
    </row>
    <row r="193" s="91" customFormat="true" ht="12.75" hidden="false" customHeight="false" outlineLevel="0" collapsed="false">
      <c r="A193" s="91" t="s">
        <v>718</v>
      </c>
      <c r="B193" s="91" t="s">
        <v>1103</v>
      </c>
      <c r="C193" s="91" t="s">
        <v>748</v>
      </c>
      <c r="D193" s="91" t="s">
        <v>749</v>
      </c>
      <c r="E193" s="91" t="s">
        <v>354</v>
      </c>
      <c r="F193" s="91" t="n">
        <v>2013</v>
      </c>
      <c r="G193" s="91" t="n">
        <v>18000</v>
      </c>
      <c r="H193" s="91" t="n">
        <v>8567</v>
      </c>
      <c r="I193" s="91" t="s">
        <v>722</v>
      </c>
      <c r="J193" s="95" t="n">
        <v>44981</v>
      </c>
      <c r="K193" s="91" t="s">
        <v>386</v>
      </c>
      <c r="M193" s="91" t="s">
        <v>1102</v>
      </c>
      <c r="N193" s="91" t="s">
        <v>1104</v>
      </c>
      <c r="O193" s="96" t="str">
        <f aca="false">CO_ORDINATES(N193)</f>
        <v>55.9044773,26.4947186</v>
      </c>
      <c r="Q193" s="91" t="n">
        <v>1</v>
      </c>
    </row>
    <row r="194" s="91" customFormat="true" ht="12.75" hidden="false" customHeight="false" outlineLevel="0" collapsed="false">
      <c r="A194" s="91" t="s">
        <v>718</v>
      </c>
      <c r="B194" s="91" t="s">
        <v>1105</v>
      </c>
      <c r="C194" s="91" t="s">
        <v>748</v>
      </c>
      <c r="D194" s="91" t="s">
        <v>749</v>
      </c>
      <c r="E194" s="91" t="s">
        <v>354</v>
      </c>
      <c r="F194" s="91" t="n">
        <v>2013</v>
      </c>
      <c r="G194" s="91" t="n">
        <v>18000</v>
      </c>
      <c r="H194" s="91" t="n">
        <v>8567</v>
      </c>
      <c r="I194" s="91" t="s">
        <v>722</v>
      </c>
      <c r="J194" s="95" t="n">
        <v>44936</v>
      </c>
      <c r="K194" s="91" t="s">
        <v>386</v>
      </c>
      <c r="M194" s="91" t="s">
        <v>1102</v>
      </c>
      <c r="N194" s="91" t="s">
        <v>388</v>
      </c>
      <c r="O194" s="96" t="str">
        <f aca="false">CO_ORDINATES(N194)</f>
        <v>55.8937755,26.4913174</v>
      </c>
      <c r="Q194" s="91" t="n">
        <v>1</v>
      </c>
    </row>
    <row r="195" s="91" customFormat="true" ht="12.75" hidden="false" customHeight="false" outlineLevel="0" collapsed="false">
      <c r="A195" s="91" t="s">
        <v>718</v>
      </c>
      <c r="B195" s="91" t="s">
        <v>1106</v>
      </c>
      <c r="C195" s="91" t="s">
        <v>748</v>
      </c>
      <c r="D195" s="91" t="s">
        <v>824</v>
      </c>
      <c r="E195" s="91" t="s">
        <v>825</v>
      </c>
      <c r="F195" s="91" t="n">
        <v>2007</v>
      </c>
      <c r="G195" s="91" t="n">
        <v>18000</v>
      </c>
      <c r="H195" s="91" t="n">
        <v>8330</v>
      </c>
      <c r="I195" s="91" t="s">
        <v>722</v>
      </c>
      <c r="J195" s="95" t="n">
        <v>44764</v>
      </c>
      <c r="K195" s="91" t="s">
        <v>386</v>
      </c>
      <c r="M195" s="91" t="s">
        <v>1102</v>
      </c>
      <c r="N195" s="91" t="s">
        <v>388</v>
      </c>
      <c r="O195" s="96" t="str">
        <f aca="false">CO_ORDINATES(N195)</f>
        <v>55.8937755,26.4913174</v>
      </c>
      <c r="Q195" s="91" t="n">
        <v>1</v>
      </c>
    </row>
    <row r="196" customFormat="false" ht="12.75" hidden="false" customHeight="false" outlineLevel="0" collapsed="false">
      <c r="A196" s="91" t="s">
        <v>718</v>
      </c>
      <c r="B196" s="91" t="s">
        <v>1107</v>
      </c>
      <c r="C196" s="91" t="s">
        <v>748</v>
      </c>
      <c r="D196" s="91" t="s">
        <v>824</v>
      </c>
      <c r="E196" s="91" t="s">
        <v>825</v>
      </c>
      <c r="F196" s="91" t="n">
        <v>2012</v>
      </c>
      <c r="G196" s="91" t="n">
        <v>18000</v>
      </c>
      <c r="H196" s="91" t="n">
        <v>8640</v>
      </c>
      <c r="I196" s="91" t="s">
        <v>722</v>
      </c>
      <c r="J196" s="95" t="n">
        <v>44804</v>
      </c>
      <c r="K196" s="91" t="s">
        <v>386</v>
      </c>
      <c r="L196" s="91" t="s">
        <v>387</v>
      </c>
      <c r="M196" s="91" t="s">
        <v>1102</v>
      </c>
      <c r="N196" s="91" t="s">
        <v>388</v>
      </c>
      <c r="O196" s="96" t="str">
        <f aca="false">CO_ORDINATES(N196)</f>
        <v>55.8937755,26.4913174</v>
      </c>
      <c r="Q196" s="91" t="n">
        <v>1</v>
      </c>
    </row>
    <row r="197" customFormat="false" ht="12.75" hidden="false" customHeight="false" outlineLevel="0" collapsed="false">
      <c r="A197" s="91" t="s">
        <v>718</v>
      </c>
      <c r="B197" s="91" t="s">
        <v>1108</v>
      </c>
      <c r="C197" s="91" t="s">
        <v>727</v>
      </c>
      <c r="D197" s="91" t="s">
        <v>920</v>
      </c>
      <c r="E197" s="91" t="s">
        <v>298</v>
      </c>
      <c r="F197" s="91" t="n">
        <v>2010</v>
      </c>
      <c r="G197" s="91" t="n">
        <v>18000</v>
      </c>
      <c r="H197" s="91" t="n">
        <v>6900</v>
      </c>
      <c r="I197" s="91" t="s">
        <v>722</v>
      </c>
      <c r="J197" s="95" t="n">
        <v>45064</v>
      </c>
      <c r="K197" s="91" t="s">
        <v>389</v>
      </c>
      <c r="L197" s="91" t="s">
        <v>298</v>
      </c>
      <c r="M197" s="91" t="s">
        <v>1109</v>
      </c>
      <c r="N197" s="91" t="s">
        <v>390</v>
      </c>
      <c r="O197" s="96" t="str">
        <f aca="false">CO_ORDINATES(N197)</f>
        <v>55.8707534,26.55483475</v>
      </c>
      <c r="Q197" s="91" t="n">
        <v>1</v>
      </c>
    </row>
    <row r="198" s="91" customFormat="true" ht="12.75" hidden="false" customHeight="false" outlineLevel="0" collapsed="false">
      <c r="A198" s="91" t="s">
        <v>718</v>
      </c>
      <c r="B198" s="91" t="s">
        <v>1110</v>
      </c>
      <c r="C198" s="91" t="s">
        <v>731</v>
      </c>
      <c r="D198" s="91" t="s">
        <v>732</v>
      </c>
      <c r="E198" s="91" t="s">
        <v>200</v>
      </c>
      <c r="F198" s="91" t="n">
        <v>2013</v>
      </c>
      <c r="G198" s="91" t="n">
        <v>20000</v>
      </c>
      <c r="H198" s="91" t="n">
        <v>7592</v>
      </c>
      <c r="I198" s="91" t="s">
        <v>868</v>
      </c>
      <c r="J198" s="95" t="n">
        <v>44586</v>
      </c>
      <c r="K198" s="91" t="s">
        <v>391</v>
      </c>
      <c r="M198" s="91" t="s">
        <v>1111</v>
      </c>
      <c r="N198" s="91" t="s">
        <v>394</v>
      </c>
      <c r="O198" s="96" t="str">
        <f aca="false">CO_ORDINATES(N198)</f>
        <v>55.8963288,26.4894912</v>
      </c>
      <c r="Q198" s="91" t="n">
        <v>1</v>
      </c>
    </row>
    <row r="199" s="91" customFormat="true" ht="12.75" hidden="false" customHeight="false" outlineLevel="0" collapsed="false">
      <c r="A199" s="91" t="s">
        <v>718</v>
      </c>
      <c r="B199" s="91" t="s">
        <v>1112</v>
      </c>
      <c r="C199" s="91" t="s">
        <v>727</v>
      </c>
      <c r="D199" s="91" t="s">
        <v>1113</v>
      </c>
      <c r="E199" s="91" t="s">
        <v>1114</v>
      </c>
      <c r="F199" s="91" t="n">
        <v>2006</v>
      </c>
      <c r="G199" s="91" t="n">
        <v>18600</v>
      </c>
      <c r="H199" s="91" t="n">
        <v>7370</v>
      </c>
      <c r="I199" s="91" t="s">
        <v>722</v>
      </c>
      <c r="J199" s="95" t="n">
        <v>44729</v>
      </c>
      <c r="K199" s="91" t="s">
        <v>391</v>
      </c>
      <c r="M199" s="91" t="s">
        <v>1111</v>
      </c>
      <c r="N199" s="91" t="s">
        <v>394</v>
      </c>
      <c r="O199" s="96" t="str">
        <f aca="false">CO_ORDINATES(N199)</f>
        <v>55.8963288,26.4894912</v>
      </c>
      <c r="Q199" s="91" t="n">
        <v>1</v>
      </c>
    </row>
    <row r="200" s="91" customFormat="true" ht="12.75" hidden="false" customHeight="false" outlineLevel="0" collapsed="false">
      <c r="A200" s="91" t="s">
        <v>718</v>
      </c>
      <c r="B200" s="91" t="s">
        <v>1115</v>
      </c>
      <c r="C200" s="91" t="s">
        <v>731</v>
      </c>
      <c r="D200" s="91" t="s">
        <v>732</v>
      </c>
      <c r="E200" s="91" t="s">
        <v>200</v>
      </c>
      <c r="F200" s="91" t="n">
        <v>2011</v>
      </c>
      <c r="G200" s="91" t="n">
        <v>18000</v>
      </c>
      <c r="H200" s="91" t="n">
        <v>7940</v>
      </c>
      <c r="I200" s="91" t="s">
        <v>722</v>
      </c>
      <c r="J200" s="95" t="n">
        <v>44971</v>
      </c>
      <c r="K200" s="91" t="s">
        <v>391</v>
      </c>
      <c r="M200" s="91" t="s">
        <v>1111</v>
      </c>
      <c r="N200" s="91" t="s">
        <v>394</v>
      </c>
      <c r="O200" s="96" t="str">
        <f aca="false">CO_ORDINATES(N200)</f>
        <v>55.8963288,26.4894912</v>
      </c>
      <c r="Q200" s="91" t="n">
        <v>1</v>
      </c>
    </row>
    <row r="201" s="91" customFormat="true" ht="12.75" hidden="false" customHeight="false" outlineLevel="0" collapsed="false">
      <c r="A201" s="91" t="s">
        <v>718</v>
      </c>
      <c r="B201" s="91" t="s">
        <v>1116</v>
      </c>
      <c r="C201" s="91" t="s">
        <v>731</v>
      </c>
      <c r="D201" s="91" t="s">
        <v>1117</v>
      </c>
      <c r="E201" s="91" t="s">
        <v>1118</v>
      </c>
      <c r="F201" s="91" t="n">
        <v>2018</v>
      </c>
      <c r="G201" s="91" t="n">
        <v>18000</v>
      </c>
      <c r="H201" s="91" t="n">
        <v>7036</v>
      </c>
      <c r="I201" s="91" t="s">
        <v>722</v>
      </c>
      <c r="J201" s="95" t="n">
        <v>44733</v>
      </c>
      <c r="K201" s="91" t="s">
        <v>391</v>
      </c>
      <c r="M201" s="91" t="s">
        <v>1111</v>
      </c>
      <c r="N201" s="91" t="s">
        <v>394</v>
      </c>
      <c r="O201" s="96" t="str">
        <f aca="false">CO_ORDINATES(N201)</f>
        <v>55.8963288,26.4894912</v>
      </c>
      <c r="Q201" s="91" t="n">
        <v>1</v>
      </c>
    </row>
    <row r="202" s="91" customFormat="true" ht="12.75" hidden="false" customHeight="false" outlineLevel="0" collapsed="false">
      <c r="A202" s="91" t="s">
        <v>718</v>
      </c>
      <c r="B202" s="91" t="s">
        <v>1119</v>
      </c>
      <c r="C202" s="91" t="s">
        <v>731</v>
      </c>
      <c r="D202" s="91" t="s">
        <v>1117</v>
      </c>
      <c r="E202" s="91" t="s">
        <v>1118</v>
      </c>
      <c r="F202" s="91" t="n">
        <v>2018</v>
      </c>
      <c r="G202" s="91" t="n">
        <v>18000</v>
      </c>
      <c r="H202" s="91" t="n">
        <v>7036</v>
      </c>
      <c r="I202" s="91" t="s">
        <v>722</v>
      </c>
      <c r="J202" s="95" t="n">
        <v>44792</v>
      </c>
      <c r="K202" s="91" t="s">
        <v>391</v>
      </c>
      <c r="M202" s="91" t="s">
        <v>1111</v>
      </c>
      <c r="N202" s="91" t="s">
        <v>394</v>
      </c>
      <c r="O202" s="96" t="str">
        <f aca="false">CO_ORDINATES(N202)</f>
        <v>55.8963288,26.4894912</v>
      </c>
      <c r="Q202" s="91" t="n">
        <v>1</v>
      </c>
    </row>
    <row r="203" customFormat="false" ht="12.75" hidden="false" customHeight="false" outlineLevel="0" collapsed="false">
      <c r="A203" s="91" t="s">
        <v>718</v>
      </c>
      <c r="B203" s="91" t="s">
        <v>1120</v>
      </c>
      <c r="C203" s="91" t="s">
        <v>731</v>
      </c>
      <c r="D203" s="91" t="s">
        <v>1117</v>
      </c>
      <c r="E203" s="91" t="s">
        <v>1118</v>
      </c>
      <c r="F203" s="91" t="n">
        <v>2017</v>
      </c>
      <c r="G203" s="91" t="n">
        <v>18000</v>
      </c>
      <c r="H203" s="91" t="n">
        <v>6692</v>
      </c>
      <c r="I203" s="91" t="s">
        <v>722</v>
      </c>
      <c r="J203" s="95" t="n">
        <v>45057</v>
      </c>
      <c r="K203" s="91" t="s">
        <v>391</v>
      </c>
      <c r="L203" s="91" t="s">
        <v>1121</v>
      </c>
      <c r="M203" s="91" t="s">
        <v>1111</v>
      </c>
      <c r="N203" s="91" t="s">
        <v>394</v>
      </c>
      <c r="O203" s="96" t="str">
        <f aca="false">CO_ORDINATES(N203)</f>
        <v>55.8963288,26.4894912</v>
      </c>
      <c r="Q203" s="91" t="n">
        <v>1</v>
      </c>
    </row>
    <row r="204" s="91" customFormat="true" ht="12.75" hidden="false" customHeight="false" outlineLevel="0" collapsed="false">
      <c r="A204" s="91" t="s">
        <v>718</v>
      </c>
      <c r="B204" s="91" t="s">
        <v>1122</v>
      </c>
      <c r="C204" s="91" t="s">
        <v>933</v>
      </c>
      <c r="D204" s="91" t="s">
        <v>1123</v>
      </c>
      <c r="E204" s="91" t="s">
        <v>1124</v>
      </c>
      <c r="F204" s="91" t="n">
        <v>2008</v>
      </c>
      <c r="G204" s="91" t="n">
        <v>19000</v>
      </c>
      <c r="H204" s="91" t="n">
        <v>7830</v>
      </c>
      <c r="I204" s="91" t="s">
        <v>722</v>
      </c>
      <c r="J204" s="95" t="n">
        <v>44995</v>
      </c>
      <c r="K204" s="91" t="s">
        <v>395</v>
      </c>
      <c r="M204" s="91" t="s">
        <v>1125</v>
      </c>
      <c r="N204" s="91" t="s">
        <v>397</v>
      </c>
      <c r="O204" s="96" t="str">
        <f aca="false">CO_ORDINATES(N204)</f>
        <v>55.9048166,26.5244173</v>
      </c>
      <c r="Q204" s="91" t="n">
        <v>1</v>
      </c>
    </row>
    <row r="205" s="91" customFormat="true" ht="12.75" hidden="false" customHeight="false" outlineLevel="0" collapsed="false">
      <c r="A205" s="91" t="s">
        <v>718</v>
      </c>
      <c r="B205" s="91" t="s">
        <v>1126</v>
      </c>
      <c r="C205" s="91" t="s">
        <v>933</v>
      </c>
      <c r="D205" s="91" t="s">
        <v>1123</v>
      </c>
      <c r="E205" s="91" t="s">
        <v>1124</v>
      </c>
      <c r="F205" s="91" t="n">
        <v>2009</v>
      </c>
      <c r="G205" s="91" t="n">
        <v>18000</v>
      </c>
      <c r="H205" s="91" t="n">
        <v>7800</v>
      </c>
      <c r="I205" s="91" t="s">
        <v>722</v>
      </c>
      <c r="J205" s="95" t="n">
        <v>44951</v>
      </c>
      <c r="K205" s="91" t="s">
        <v>395</v>
      </c>
      <c r="M205" s="91" t="s">
        <v>1125</v>
      </c>
      <c r="N205" s="91" t="s">
        <v>397</v>
      </c>
      <c r="O205" s="96" t="str">
        <f aca="false">CO_ORDINATES(N205)</f>
        <v>55.9048166,26.5244173</v>
      </c>
      <c r="Q205" s="91" t="n">
        <v>1</v>
      </c>
    </row>
    <row r="206" customFormat="false" ht="12.75" hidden="false" customHeight="false" outlineLevel="0" collapsed="false">
      <c r="A206" s="91" t="s">
        <v>718</v>
      </c>
      <c r="B206" s="91" t="s">
        <v>1127</v>
      </c>
      <c r="C206" s="91" t="s">
        <v>933</v>
      </c>
      <c r="D206" s="91" t="s">
        <v>1128</v>
      </c>
      <c r="E206" s="91" t="s">
        <v>1129</v>
      </c>
      <c r="F206" s="91" t="n">
        <v>2008</v>
      </c>
      <c r="G206" s="91" t="n">
        <v>18000</v>
      </c>
      <c r="H206" s="91" t="n">
        <v>7750</v>
      </c>
      <c r="I206" s="91" t="s">
        <v>722</v>
      </c>
      <c r="J206" s="95" t="n">
        <v>44699</v>
      </c>
      <c r="K206" s="91" t="s">
        <v>395</v>
      </c>
      <c r="L206" s="91" t="s">
        <v>396</v>
      </c>
      <c r="M206" s="91" t="s">
        <v>1125</v>
      </c>
      <c r="N206" s="91" t="s">
        <v>397</v>
      </c>
      <c r="O206" s="96" t="str">
        <f aca="false">CO_ORDINATES(N206)</f>
        <v>55.9048166,26.5244173</v>
      </c>
      <c r="Q206" s="91" t="n">
        <v>1</v>
      </c>
    </row>
    <row r="207" s="91" customFormat="true" ht="12.75" hidden="false" customHeight="false" outlineLevel="0" collapsed="false">
      <c r="A207" s="91" t="s">
        <v>718</v>
      </c>
      <c r="B207" s="91" t="s">
        <v>1130</v>
      </c>
      <c r="C207" s="91" t="s">
        <v>748</v>
      </c>
      <c r="D207" s="91" t="s">
        <v>749</v>
      </c>
      <c r="E207" s="91" t="s">
        <v>354</v>
      </c>
      <c r="F207" s="91" t="n">
        <v>2014</v>
      </c>
      <c r="G207" s="91" t="n">
        <v>18000</v>
      </c>
      <c r="H207" s="91" t="n">
        <v>8462</v>
      </c>
      <c r="I207" s="91" t="s">
        <v>722</v>
      </c>
      <c r="J207" s="95" t="n">
        <v>44902</v>
      </c>
      <c r="K207" s="91" t="s">
        <v>398</v>
      </c>
      <c r="M207" s="91" t="s">
        <v>1131</v>
      </c>
      <c r="N207" s="91" t="s">
        <v>400</v>
      </c>
      <c r="O207" s="96" t="str">
        <f aca="false">CO_ORDINATES(N207)</f>
        <v>55.8791772,26.539514765638465</v>
      </c>
      <c r="Q207" s="91" t="n">
        <v>1</v>
      </c>
    </row>
    <row r="208" s="91" customFormat="true" ht="12.75" hidden="false" customHeight="false" outlineLevel="0" collapsed="false">
      <c r="A208" s="91" t="s">
        <v>718</v>
      </c>
      <c r="B208" s="91" t="s">
        <v>1132</v>
      </c>
      <c r="C208" s="91" t="s">
        <v>748</v>
      </c>
      <c r="D208" s="91" t="s">
        <v>749</v>
      </c>
      <c r="E208" s="91" t="s">
        <v>354</v>
      </c>
      <c r="F208" s="91" t="n">
        <v>2012</v>
      </c>
      <c r="G208" s="91" t="n">
        <v>18000</v>
      </c>
      <c r="H208" s="91" t="n">
        <v>8500</v>
      </c>
      <c r="I208" s="91" t="s">
        <v>722</v>
      </c>
      <c r="J208" s="95" t="n">
        <v>44904</v>
      </c>
      <c r="K208" s="91" t="s">
        <v>398</v>
      </c>
      <c r="M208" s="91" t="s">
        <v>1131</v>
      </c>
      <c r="N208" s="91" t="s">
        <v>400</v>
      </c>
      <c r="O208" s="96" t="str">
        <f aca="false">CO_ORDINATES(N208)</f>
        <v>55.8791772,26.539514765638465</v>
      </c>
      <c r="Q208" s="91" t="n">
        <v>1</v>
      </c>
    </row>
    <row r="209" s="91" customFormat="true" ht="12.75" hidden="false" customHeight="false" outlineLevel="0" collapsed="false">
      <c r="A209" s="91" t="s">
        <v>718</v>
      </c>
      <c r="B209" s="91" t="s">
        <v>1133</v>
      </c>
      <c r="C209" s="91" t="s">
        <v>748</v>
      </c>
      <c r="D209" s="91" t="s">
        <v>749</v>
      </c>
      <c r="E209" s="91" t="s">
        <v>354</v>
      </c>
      <c r="F209" s="91" t="n">
        <v>2019</v>
      </c>
      <c r="G209" s="91" t="n">
        <v>18000</v>
      </c>
      <c r="H209" s="91" t="n">
        <v>8415</v>
      </c>
      <c r="I209" s="91" t="s">
        <v>722</v>
      </c>
      <c r="J209" s="95" t="n">
        <v>45014</v>
      </c>
      <c r="K209" s="91" t="s">
        <v>398</v>
      </c>
      <c r="M209" s="91" t="s">
        <v>1131</v>
      </c>
      <c r="N209" s="91" t="s">
        <v>400</v>
      </c>
      <c r="O209" s="96" t="str">
        <f aca="false">CO_ORDINATES(N209)</f>
        <v>55.8791772,26.539514765638465</v>
      </c>
      <c r="Q209" s="91" t="n">
        <v>1</v>
      </c>
    </row>
    <row r="210" s="91" customFormat="true" ht="12.75" hidden="false" customHeight="false" outlineLevel="0" collapsed="false">
      <c r="A210" s="91" t="s">
        <v>718</v>
      </c>
      <c r="B210" s="91" t="s">
        <v>1134</v>
      </c>
      <c r="C210" s="91" t="s">
        <v>748</v>
      </c>
      <c r="D210" s="91" t="s">
        <v>749</v>
      </c>
      <c r="E210" s="91" t="s">
        <v>354</v>
      </c>
      <c r="F210" s="91" t="n">
        <v>2019</v>
      </c>
      <c r="G210" s="91" t="n">
        <v>18000</v>
      </c>
      <c r="H210" s="91" t="n">
        <v>8415</v>
      </c>
      <c r="I210" s="91" t="s">
        <v>722</v>
      </c>
      <c r="J210" s="95" t="n">
        <v>45016</v>
      </c>
      <c r="K210" s="91" t="s">
        <v>398</v>
      </c>
      <c r="M210" s="91" t="s">
        <v>1131</v>
      </c>
      <c r="N210" s="91" t="s">
        <v>400</v>
      </c>
      <c r="O210" s="96" t="str">
        <f aca="false">CO_ORDINATES(N210)</f>
        <v>55.8791772,26.539514765638465</v>
      </c>
      <c r="Q210" s="91" t="n">
        <v>1</v>
      </c>
    </row>
    <row r="211" s="91" customFormat="true" ht="12.75" hidden="false" customHeight="false" outlineLevel="0" collapsed="false">
      <c r="A211" s="91" t="s">
        <v>718</v>
      </c>
      <c r="B211" s="91" t="s">
        <v>1135</v>
      </c>
      <c r="C211" s="91" t="s">
        <v>748</v>
      </c>
      <c r="D211" s="91" t="s">
        <v>749</v>
      </c>
      <c r="E211" s="91" t="s">
        <v>354</v>
      </c>
      <c r="F211" s="91" t="n">
        <v>2019</v>
      </c>
      <c r="G211" s="91" t="n">
        <v>18000</v>
      </c>
      <c r="H211" s="91" t="n">
        <v>8415</v>
      </c>
      <c r="I211" s="91" t="s">
        <v>722</v>
      </c>
      <c r="J211" s="95" t="n">
        <v>45016</v>
      </c>
      <c r="K211" s="91" t="s">
        <v>398</v>
      </c>
      <c r="M211" s="91" t="s">
        <v>1131</v>
      </c>
      <c r="N211" s="91" t="s">
        <v>400</v>
      </c>
      <c r="O211" s="96" t="str">
        <f aca="false">CO_ORDINATES(N211)</f>
        <v>55.8791772,26.539514765638465</v>
      </c>
      <c r="Q211" s="91" t="n">
        <v>1</v>
      </c>
    </row>
    <row r="212" s="91" customFormat="true" ht="12.75" hidden="false" customHeight="false" outlineLevel="0" collapsed="false">
      <c r="A212" s="91" t="s">
        <v>718</v>
      </c>
      <c r="B212" s="91" t="s">
        <v>1136</v>
      </c>
      <c r="C212" s="91" t="s">
        <v>748</v>
      </c>
      <c r="D212" s="91" t="s">
        <v>824</v>
      </c>
      <c r="E212" s="91" t="s">
        <v>825</v>
      </c>
      <c r="F212" s="91" t="n">
        <v>2011</v>
      </c>
      <c r="G212" s="91" t="n">
        <v>18000</v>
      </c>
      <c r="H212" s="91" t="n">
        <v>8400</v>
      </c>
      <c r="I212" s="91" t="s">
        <v>722</v>
      </c>
      <c r="J212" s="95" t="n">
        <v>44692</v>
      </c>
      <c r="K212" s="91" t="s">
        <v>398</v>
      </c>
      <c r="M212" s="91" t="s">
        <v>1131</v>
      </c>
      <c r="N212" s="91" t="s">
        <v>400</v>
      </c>
      <c r="O212" s="96" t="str">
        <f aca="false">CO_ORDINATES(N212)</f>
        <v>55.8791772,26.539514765638465</v>
      </c>
      <c r="Q212" s="91" t="n">
        <v>1</v>
      </c>
    </row>
    <row r="213" s="91" customFormat="true" ht="12.75" hidden="false" customHeight="false" outlineLevel="0" collapsed="false">
      <c r="A213" s="91" t="s">
        <v>718</v>
      </c>
      <c r="B213" s="91" t="s">
        <v>1137</v>
      </c>
      <c r="C213" s="91" t="s">
        <v>748</v>
      </c>
      <c r="D213" s="91" t="s">
        <v>824</v>
      </c>
      <c r="E213" s="91" t="s">
        <v>825</v>
      </c>
      <c r="F213" s="91" t="n">
        <v>2012</v>
      </c>
      <c r="G213" s="91" t="n">
        <v>18000</v>
      </c>
      <c r="H213" s="91" t="n">
        <v>8400</v>
      </c>
      <c r="I213" s="91" t="s">
        <v>722</v>
      </c>
      <c r="J213" s="95" t="n">
        <v>44868</v>
      </c>
      <c r="K213" s="91" t="s">
        <v>398</v>
      </c>
      <c r="M213" s="91" t="s">
        <v>1131</v>
      </c>
      <c r="N213" s="91" t="s">
        <v>400</v>
      </c>
      <c r="O213" s="96" t="str">
        <f aca="false">CO_ORDINATES(N213)</f>
        <v>55.8791772,26.539514765638465</v>
      </c>
      <c r="Q213" s="91" t="n">
        <v>1</v>
      </c>
    </row>
    <row r="214" s="91" customFormat="true" ht="12.75" hidden="false" customHeight="false" outlineLevel="0" collapsed="false">
      <c r="A214" s="91" t="s">
        <v>718</v>
      </c>
      <c r="B214" s="91" t="s">
        <v>1138</v>
      </c>
      <c r="C214" s="91" t="s">
        <v>748</v>
      </c>
      <c r="D214" s="91" t="s">
        <v>824</v>
      </c>
      <c r="E214" s="91" t="s">
        <v>825</v>
      </c>
      <c r="F214" s="91" t="n">
        <v>2011</v>
      </c>
      <c r="G214" s="91" t="n">
        <v>18000</v>
      </c>
      <c r="H214" s="91" t="n">
        <v>8400</v>
      </c>
      <c r="I214" s="91" t="s">
        <v>722</v>
      </c>
      <c r="J214" s="95" t="n">
        <v>44943</v>
      </c>
      <c r="K214" s="91" t="s">
        <v>398</v>
      </c>
      <c r="M214" s="91" t="s">
        <v>1131</v>
      </c>
      <c r="N214" s="91" t="s">
        <v>400</v>
      </c>
      <c r="O214" s="96" t="str">
        <f aca="false">CO_ORDINATES(N214)</f>
        <v>55.8791772,26.539514765638465</v>
      </c>
      <c r="Q214" s="91" t="n">
        <v>1</v>
      </c>
    </row>
    <row r="215" s="91" customFormat="true" ht="12.75" hidden="false" customHeight="false" outlineLevel="0" collapsed="false">
      <c r="A215" s="91" t="s">
        <v>718</v>
      </c>
      <c r="B215" s="91" t="s">
        <v>1139</v>
      </c>
      <c r="C215" s="91" t="s">
        <v>748</v>
      </c>
      <c r="D215" s="91" t="s">
        <v>824</v>
      </c>
      <c r="E215" s="91" t="s">
        <v>825</v>
      </c>
      <c r="F215" s="91" t="n">
        <v>2011</v>
      </c>
      <c r="G215" s="91" t="n">
        <v>18000</v>
      </c>
      <c r="H215" s="91" t="n">
        <v>8400</v>
      </c>
      <c r="I215" s="91" t="s">
        <v>722</v>
      </c>
      <c r="J215" s="95" t="n">
        <v>44949</v>
      </c>
      <c r="K215" s="91" t="s">
        <v>398</v>
      </c>
      <c r="M215" s="91" t="s">
        <v>1131</v>
      </c>
      <c r="N215" s="91" t="s">
        <v>400</v>
      </c>
      <c r="O215" s="96" t="str">
        <f aca="false">CO_ORDINATES(N215)</f>
        <v>55.8791772,26.539514765638465</v>
      </c>
      <c r="Q215" s="91" t="n">
        <v>1</v>
      </c>
    </row>
    <row r="216" s="91" customFormat="true" ht="12.75" hidden="false" customHeight="false" outlineLevel="0" collapsed="false">
      <c r="A216" s="91" t="s">
        <v>718</v>
      </c>
      <c r="B216" s="91" t="s">
        <v>1140</v>
      </c>
      <c r="C216" s="91" t="s">
        <v>748</v>
      </c>
      <c r="D216" s="91" t="s">
        <v>824</v>
      </c>
      <c r="E216" s="91" t="s">
        <v>825</v>
      </c>
      <c r="F216" s="91" t="n">
        <v>2011</v>
      </c>
      <c r="G216" s="91" t="n">
        <v>18000</v>
      </c>
      <c r="H216" s="91" t="n">
        <v>8400</v>
      </c>
      <c r="I216" s="91" t="s">
        <v>722</v>
      </c>
      <c r="J216" s="95" t="n">
        <v>44959</v>
      </c>
      <c r="K216" s="91" t="s">
        <v>398</v>
      </c>
      <c r="M216" s="91" t="s">
        <v>1131</v>
      </c>
      <c r="N216" s="91" t="s">
        <v>400</v>
      </c>
      <c r="O216" s="96" t="str">
        <f aca="false">CO_ORDINATES(N216)</f>
        <v>55.8791772,26.539514765638465</v>
      </c>
      <c r="Q216" s="91" t="n">
        <v>1</v>
      </c>
    </row>
    <row r="217" s="91" customFormat="true" ht="12.75" hidden="false" customHeight="false" outlineLevel="0" collapsed="false">
      <c r="A217" s="91" t="s">
        <v>718</v>
      </c>
      <c r="B217" s="91" t="s">
        <v>1141</v>
      </c>
      <c r="C217" s="91" t="s">
        <v>748</v>
      </c>
      <c r="D217" s="91" t="s">
        <v>824</v>
      </c>
      <c r="E217" s="91" t="s">
        <v>825</v>
      </c>
      <c r="F217" s="91" t="n">
        <v>2011</v>
      </c>
      <c r="G217" s="91" t="n">
        <v>18000</v>
      </c>
      <c r="H217" s="91" t="n">
        <v>8400</v>
      </c>
      <c r="I217" s="91" t="s">
        <v>722</v>
      </c>
      <c r="J217" s="95" t="n">
        <v>44964</v>
      </c>
      <c r="K217" s="91" t="s">
        <v>398</v>
      </c>
      <c r="M217" s="91" t="s">
        <v>1131</v>
      </c>
      <c r="N217" s="91" t="s">
        <v>400</v>
      </c>
      <c r="O217" s="96" t="str">
        <f aca="false">CO_ORDINATES(N217)</f>
        <v>55.8791772,26.539514765638465</v>
      </c>
      <c r="Q217" s="91" t="n">
        <v>1</v>
      </c>
    </row>
    <row r="218" s="91" customFormat="true" ht="12.75" hidden="false" customHeight="false" outlineLevel="0" collapsed="false">
      <c r="A218" s="91" t="s">
        <v>718</v>
      </c>
      <c r="B218" s="91" t="s">
        <v>1142</v>
      </c>
      <c r="C218" s="91" t="s">
        <v>748</v>
      </c>
      <c r="D218" s="91" t="s">
        <v>824</v>
      </c>
      <c r="E218" s="91" t="s">
        <v>825</v>
      </c>
      <c r="F218" s="91" t="n">
        <v>2011</v>
      </c>
      <c r="G218" s="91" t="n">
        <v>18000</v>
      </c>
      <c r="H218" s="91" t="n">
        <v>8400</v>
      </c>
      <c r="I218" s="91" t="s">
        <v>722</v>
      </c>
      <c r="J218" s="95" t="n">
        <v>44967</v>
      </c>
      <c r="K218" s="91" t="s">
        <v>398</v>
      </c>
      <c r="M218" s="91" t="s">
        <v>1131</v>
      </c>
      <c r="N218" s="91" t="s">
        <v>400</v>
      </c>
      <c r="O218" s="96" t="str">
        <f aca="false">CO_ORDINATES(N218)</f>
        <v>55.8791772,26.539514765638465</v>
      </c>
      <c r="Q218" s="91" t="n">
        <v>1</v>
      </c>
    </row>
    <row r="219" s="91" customFormat="true" ht="12.75" hidden="false" customHeight="false" outlineLevel="0" collapsed="false">
      <c r="A219" s="91" t="s">
        <v>718</v>
      </c>
      <c r="B219" s="91" t="s">
        <v>1143</v>
      </c>
      <c r="C219" s="91" t="s">
        <v>748</v>
      </c>
      <c r="D219" s="91" t="s">
        <v>824</v>
      </c>
      <c r="E219" s="91" t="s">
        <v>825</v>
      </c>
      <c r="F219" s="91" t="n">
        <v>2011</v>
      </c>
      <c r="G219" s="91" t="n">
        <v>18000</v>
      </c>
      <c r="H219" s="91" t="n">
        <v>8400</v>
      </c>
      <c r="I219" s="91" t="s">
        <v>722</v>
      </c>
      <c r="J219" s="95" t="n">
        <v>44967</v>
      </c>
      <c r="K219" s="91" t="s">
        <v>398</v>
      </c>
      <c r="M219" s="91" t="s">
        <v>1131</v>
      </c>
      <c r="N219" s="91" t="s">
        <v>400</v>
      </c>
      <c r="O219" s="96" t="str">
        <f aca="false">CO_ORDINATES(N219)</f>
        <v>55.8791772,26.539514765638465</v>
      </c>
      <c r="Q219" s="91" t="n">
        <v>1</v>
      </c>
    </row>
    <row r="220" s="91" customFormat="true" ht="12.75" hidden="false" customHeight="false" outlineLevel="0" collapsed="false">
      <c r="A220" s="91" t="s">
        <v>718</v>
      </c>
      <c r="B220" s="91" t="s">
        <v>1144</v>
      </c>
      <c r="C220" s="91" t="s">
        <v>748</v>
      </c>
      <c r="D220" s="91" t="s">
        <v>824</v>
      </c>
      <c r="E220" s="91" t="s">
        <v>825</v>
      </c>
      <c r="F220" s="91" t="n">
        <v>2011</v>
      </c>
      <c r="G220" s="91" t="n">
        <v>18000</v>
      </c>
      <c r="H220" s="91" t="n">
        <v>8400</v>
      </c>
      <c r="I220" s="91" t="s">
        <v>722</v>
      </c>
      <c r="J220" s="95" t="n">
        <v>45006</v>
      </c>
      <c r="K220" s="91" t="s">
        <v>398</v>
      </c>
      <c r="M220" s="91" t="s">
        <v>1131</v>
      </c>
      <c r="N220" s="91" t="s">
        <v>400</v>
      </c>
      <c r="O220" s="96" t="str">
        <f aca="false">CO_ORDINATES(N220)</f>
        <v>55.8791772,26.539514765638465</v>
      </c>
      <c r="Q220" s="91" t="n">
        <v>1</v>
      </c>
    </row>
    <row r="221" s="91" customFormat="true" ht="12.75" hidden="false" customHeight="false" outlineLevel="0" collapsed="false">
      <c r="A221" s="91" t="s">
        <v>718</v>
      </c>
      <c r="B221" s="91" t="s">
        <v>1145</v>
      </c>
      <c r="C221" s="91" t="s">
        <v>748</v>
      </c>
      <c r="D221" s="91" t="s">
        <v>824</v>
      </c>
      <c r="E221" s="91" t="s">
        <v>825</v>
      </c>
      <c r="F221" s="91" t="n">
        <v>2011</v>
      </c>
      <c r="G221" s="91" t="n">
        <v>18000</v>
      </c>
      <c r="H221" s="91" t="n">
        <v>8400</v>
      </c>
      <c r="I221" s="91" t="s">
        <v>722</v>
      </c>
      <c r="J221" s="95" t="n">
        <v>45021</v>
      </c>
      <c r="K221" s="91" t="s">
        <v>398</v>
      </c>
      <c r="M221" s="91" t="s">
        <v>1131</v>
      </c>
      <c r="N221" s="91" t="s">
        <v>400</v>
      </c>
      <c r="O221" s="96" t="str">
        <f aca="false">CO_ORDINATES(N221)</f>
        <v>55.8791772,26.539514765638465</v>
      </c>
      <c r="Q221" s="91" t="n">
        <v>1</v>
      </c>
    </row>
    <row r="222" s="91" customFormat="true" ht="12.75" hidden="false" customHeight="false" outlineLevel="0" collapsed="false">
      <c r="A222" s="91" t="s">
        <v>718</v>
      </c>
      <c r="B222" s="91" t="s">
        <v>1146</v>
      </c>
      <c r="C222" s="91" t="s">
        <v>748</v>
      </c>
      <c r="D222" s="91" t="s">
        <v>824</v>
      </c>
      <c r="E222" s="91" t="s">
        <v>825</v>
      </c>
      <c r="F222" s="91" t="n">
        <v>2011</v>
      </c>
      <c r="G222" s="91" t="n">
        <v>18000</v>
      </c>
      <c r="H222" s="91" t="n">
        <v>8400</v>
      </c>
      <c r="I222" s="91" t="s">
        <v>722</v>
      </c>
      <c r="J222" s="95" t="n">
        <v>45029</v>
      </c>
      <c r="K222" s="91" t="s">
        <v>398</v>
      </c>
      <c r="M222" s="91" t="s">
        <v>1131</v>
      </c>
      <c r="N222" s="91" t="s">
        <v>400</v>
      </c>
      <c r="O222" s="96" t="str">
        <f aca="false">CO_ORDINATES(N222)</f>
        <v>55.8791772,26.539514765638465</v>
      </c>
      <c r="Q222" s="91" t="n">
        <v>1</v>
      </c>
    </row>
    <row r="223" s="91" customFormat="true" ht="12.75" hidden="false" customHeight="false" outlineLevel="0" collapsed="false">
      <c r="A223" s="91" t="s">
        <v>718</v>
      </c>
      <c r="B223" s="91" t="s">
        <v>1147</v>
      </c>
      <c r="C223" s="91" t="s">
        <v>748</v>
      </c>
      <c r="D223" s="91" t="s">
        <v>824</v>
      </c>
      <c r="E223" s="91" t="s">
        <v>825</v>
      </c>
      <c r="F223" s="91" t="n">
        <v>2011</v>
      </c>
      <c r="G223" s="91" t="n">
        <v>18000</v>
      </c>
      <c r="H223" s="91" t="n">
        <v>8400</v>
      </c>
      <c r="I223" s="91" t="s">
        <v>722</v>
      </c>
      <c r="J223" s="95" t="n">
        <v>45029</v>
      </c>
      <c r="K223" s="91" t="s">
        <v>398</v>
      </c>
      <c r="M223" s="91" t="s">
        <v>1131</v>
      </c>
      <c r="N223" s="91" t="s">
        <v>400</v>
      </c>
      <c r="O223" s="96" t="str">
        <f aca="false">CO_ORDINATES(N223)</f>
        <v>55.8791772,26.539514765638465</v>
      </c>
      <c r="Q223" s="91" t="n">
        <v>1</v>
      </c>
    </row>
    <row r="224" s="91" customFormat="true" ht="12.75" hidden="false" customHeight="false" outlineLevel="0" collapsed="false">
      <c r="A224" s="91" t="s">
        <v>718</v>
      </c>
      <c r="B224" s="91" t="s">
        <v>1148</v>
      </c>
      <c r="C224" s="91" t="s">
        <v>748</v>
      </c>
      <c r="D224" s="91" t="s">
        <v>824</v>
      </c>
      <c r="E224" s="91" t="s">
        <v>825</v>
      </c>
      <c r="F224" s="91" t="n">
        <v>2012</v>
      </c>
      <c r="G224" s="91" t="n">
        <v>18000</v>
      </c>
      <c r="H224" s="91" t="n">
        <v>8400</v>
      </c>
      <c r="I224" s="91" t="s">
        <v>722</v>
      </c>
      <c r="J224" s="95" t="n">
        <v>45062</v>
      </c>
      <c r="K224" s="91" t="s">
        <v>398</v>
      </c>
      <c r="M224" s="91" t="s">
        <v>1131</v>
      </c>
      <c r="N224" s="91" t="s">
        <v>400</v>
      </c>
      <c r="O224" s="96" t="str">
        <f aca="false">CO_ORDINATES(N224)</f>
        <v>55.8791772,26.539514765638465</v>
      </c>
      <c r="Q224" s="91" t="n">
        <v>1</v>
      </c>
    </row>
    <row r="225" customFormat="false" ht="12.75" hidden="false" customHeight="false" outlineLevel="0" collapsed="false">
      <c r="A225" s="91" t="s">
        <v>718</v>
      </c>
      <c r="B225" s="91" t="s">
        <v>1149</v>
      </c>
      <c r="C225" s="91" t="s">
        <v>748</v>
      </c>
      <c r="D225" s="91" t="s">
        <v>824</v>
      </c>
      <c r="E225" s="91" t="s">
        <v>825</v>
      </c>
      <c r="F225" s="91" t="n">
        <v>2011</v>
      </c>
      <c r="G225" s="91" t="n">
        <v>18000</v>
      </c>
      <c r="H225" s="91" t="n">
        <v>8400</v>
      </c>
      <c r="I225" s="91" t="s">
        <v>722</v>
      </c>
      <c r="J225" s="95" t="n">
        <v>45071</v>
      </c>
      <c r="K225" s="91" t="s">
        <v>398</v>
      </c>
      <c r="L225" s="91" t="s">
        <v>1150</v>
      </c>
      <c r="M225" s="91" t="s">
        <v>1131</v>
      </c>
      <c r="N225" s="91" t="s">
        <v>400</v>
      </c>
      <c r="O225" s="96" t="str">
        <f aca="false">CO_ORDINATES(N225)</f>
        <v>55.8791772,26.539514765638465</v>
      </c>
      <c r="Q225" s="91" t="n">
        <v>1</v>
      </c>
    </row>
    <row r="226" customFormat="false" ht="12.75" hidden="false" customHeight="false" outlineLevel="0" collapsed="false">
      <c r="A226" s="91" t="s">
        <v>718</v>
      </c>
      <c r="B226" s="91" t="s">
        <v>1151</v>
      </c>
      <c r="C226" s="91" t="s">
        <v>720</v>
      </c>
      <c r="D226" s="91" t="s">
        <v>725</v>
      </c>
      <c r="E226" s="91" t="s">
        <v>281</v>
      </c>
      <c r="F226" s="91" t="n">
        <v>2014</v>
      </c>
      <c r="G226" s="91" t="n">
        <v>18000</v>
      </c>
      <c r="H226" s="91" t="n">
        <v>8799</v>
      </c>
      <c r="I226" s="91" t="s">
        <v>722</v>
      </c>
      <c r="J226" s="95" t="n">
        <v>44978</v>
      </c>
      <c r="K226" s="91" t="s">
        <v>401</v>
      </c>
      <c r="L226" s="91" t="s">
        <v>281</v>
      </c>
      <c r="M226" s="91" t="s">
        <v>1152</v>
      </c>
      <c r="N226" s="91" t="s">
        <v>402</v>
      </c>
      <c r="O226" s="96" t="str">
        <f aca="false">CO_ORDINATES(N226)</f>
        <v>55.8814893,26.4997095</v>
      </c>
      <c r="Q226" s="91" t="n">
        <v>1</v>
      </c>
    </row>
    <row r="227" s="91" customFormat="true" ht="12.75" hidden="false" customHeight="false" outlineLevel="0" collapsed="false">
      <c r="A227" s="91" t="s">
        <v>718</v>
      </c>
      <c r="B227" s="91" t="s">
        <v>1153</v>
      </c>
      <c r="C227" s="91" t="s">
        <v>727</v>
      </c>
      <c r="D227" s="91" t="s">
        <v>1154</v>
      </c>
      <c r="E227" s="91" t="s">
        <v>1155</v>
      </c>
      <c r="F227" s="91" t="n">
        <v>2004</v>
      </c>
      <c r="G227" s="91" t="n">
        <v>19000</v>
      </c>
      <c r="H227" s="91" t="n">
        <v>7690</v>
      </c>
      <c r="I227" s="91" t="s">
        <v>722</v>
      </c>
      <c r="J227" s="95" t="n">
        <v>44819</v>
      </c>
      <c r="K227" s="91" t="s">
        <v>403</v>
      </c>
      <c r="M227" s="91" t="s">
        <v>1156</v>
      </c>
      <c r="N227" s="91" t="s">
        <v>405</v>
      </c>
      <c r="O227" s="96" t="str">
        <f aca="false">CO_ORDINATES(N227)</f>
        <v>55.880892349999996,26.5047759361483</v>
      </c>
      <c r="Q227" s="91" t="n">
        <v>1</v>
      </c>
    </row>
    <row r="228" s="91" customFormat="true" ht="12.75" hidden="false" customHeight="false" outlineLevel="0" collapsed="false">
      <c r="A228" s="91" t="s">
        <v>718</v>
      </c>
      <c r="B228" s="91" t="s">
        <v>1157</v>
      </c>
      <c r="C228" s="91" t="s">
        <v>933</v>
      </c>
      <c r="D228" s="91" t="s">
        <v>1158</v>
      </c>
      <c r="E228" s="91" t="s">
        <v>1159</v>
      </c>
      <c r="F228" s="91" t="n">
        <v>2006</v>
      </c>
      <c r="G228" s="91" t="n">
        <v>18000</v>
      </c>
      <c r="H228" s="91" t="n">
        <v>7450</v>
      </c>
      <c r="I228" s="91" t="s">
        <v>722</v>
      </c>
      <c r="J228" s="95" t="n">
        <v>44785</v>
      </c>
      <c r="K228" s="91" t="s">
        <v>403</v>
      </c>
      <c r="M228" s="91" t="s">
        <v>1156</v>
      </c>
      <c r="N228" s="91" t="s">
        <v>405</v>
      </c>
      <c r="O228" s="96" t="str">
        <f aca="false">CO_ORDINATES(N228)</f>
        <v>55.880892349999996,26.5047759361483</v>
      </c>
      <c r="Q228" s="91" t="n">
        <v>1</v>
      </c>
    </row>
    <row r="229" s="91" customFormat="true" ht="12.75" hidden="false" customHeight="false" outlineLevel="0" collapsed="false">
      <c r="A229" s="91" t="s">
        <v>718</v>
      </c>
      <c r="B229" s="91" t="s">
        <v>1160</v>
      </c>
      <c r="C229" s="91" t="s">
        <v>771</v>
      </c>
      <c r="D229" s="91" t="s">
        <v>938</v>
      </c>
      <c r="E229" s="91" t="s">
        <v>524</v>
      </c>
      <c r="F229" s="91" t="n">
        <v>2006</v>
      </c>
      <c r="G229" s="91" t="n">
        <v>18000</v>
      </c>
      <c r="H229" s="91" t="n">
        <v>6750</v>
      </c>
      <c r="I229" s="91" t="s">
        <v>722</v>
      </c>
      <c r="J229" s="95" t="n">
        <v>44727</v>
      </c>
      <c r="K229" s="91" t="s">
        <v>403</v>
      </c>
      <c r="M229" s="91" t="s">
        <v>1156</v>
      </c>
      <c r="N229" s="91" t="s">
        <v>405</v>
      </c>
      <c r="O229" s="96" t="str">
        <f aca="false">CO_ORDINATES(N229)</f>
        <v>55.880892349999996,26.5047759361483</v>
      </c>
      <c r="Q229" s="91" t="n">
        <v>1</v>
      </c>
    </row>
    <row r="230" s="91" customFormat="true" ht="12.75" hidden="false" customHeight="false" outlineLevel="0" collapsed="false">
      <c r="A230" s="91" t="s">
        <v>718</v>
      </c>
      <c r="B230" s="91" t="s">
        <v>1161</v>
      </c>
      <c r="C230" s="91" t="s">
        <v>771</v>
      </c>
      <c r="D230" s="91" t="s">
        <v>1083</v>
      </c>
      <c r="E230" s="91" t="s">
        <v>1084</v>
      </c>
      <c r="F230" s="91" t="n">
        <v>2008</v>
      </c>
      <c r="G230" s="91" t="n">
        <v>18000</v>
      </c>
      <c r="H230" s="91" t="n">
        <v>7175</v>
      </c>
      <c r="I230" s="91" t="s">
        <v>722</v>
      </c>
      <c r="J230" s="95" t="n">
        <v>44720</v>
      </c>
      <c r="K230" s="91" t="s">
        <v>403</v>
      </c>
      <c r="M230" s="91" t="s">
        <v>1156</v>
      </c>
      <c r="N230" s="91" t="s">
        <v>405</v>
      </c>
      <c r="O230" s="96" t="str">
        <f aca="false">CO_ORDINATES(N230)</f>
        <v>55.880892349999996,26.5047759361483</v>
      </c>
      <c r="Q230" s="91" t="n">
        <v>1</v>
      </c>
    </row>
    <row r="231" s="91" customFormat="true" ht="12.75" hidden="false" customHeight="false" outlineLevel="0" collapsed="false">
      <c r="A231" s="91" t="s">
        <v>718</v>
      </c>
      <c r="B231" s="91" t="s">
        <v>1162</v>
      </c>
      <c r="C231" s="91" t="s">
        <v>727</v>
      </c>
      <c r="D231" s="91" t="s">
        <v>1163</v>
      </c>
      <c r="E231" s="91" t="s">
        <v>1164</v>
      </c>
      <c r="F231" s="91" t="n">
        <v>2002</v>
      </c>
      <c r="G231" s="91" t="n">
        <v>18000</v>
      </c>
      <c r="H231" s="91" t="n">
        <v>7530</v>
      </c>
      <c r="I231" s="91" t="s">
        <v>722</v>
      </c>
      <c r="J231" s="95" t="n">
        <v>44727</v>
      </c>
      <c r="K231" s="91" t="s">
        <v>403</v>
      </c>
      <c r="M231" s="91" t="s">
        <v>1156</v>
      </c>
      <c r="N231" s="91" t="s">
        <v>405</v>
      </c>
      <c r="O231" s="96" t="str">
        <f aca="false">CO_ORDINATES(N231)</f>
        <v>55.880892349999996,26.5047759361483</v>
      </c>
      <c r="Q231" s="91" t="n">
        <v>1</v>
      </c>
    </row>
    <row r="232" customFormat="false" ht="12.75" hidden="false" customHeight="false" outlineLevel="0" collapsed="false">
      <c r="A232" s="91" t="s">
        <v>718</v>
      </c>
      <c r="B232" s="91" t="s">
        <v>1165</v>
      </c>
      <c r="C232" s="91" t="s">
        <v>731</v>
      </c>
      <c r="D232" s="91" t="s">
        <v>1166</v>
      </c>
      <c r="E232" s="91" t="s">
        <v>1167</v>
      </c>
      <c r="F232" s="91" t="n">
        <v>2008</v>
      </c>
      <c r="G232" s="91" t="n">
        <v>18000</v>
      </c>
      <c r="H232" s="91" t="n">
        <v>6501</v>
      </c>
      <c r="I232" s="91" t="s">
        <v>722</v>
      </c>
      <c r="J232" s="95" t="n">
        <v>44740</v>
      </c>
      <c r="K232" s="91" t="s">
        <v>403</v>
      </c>
      <c r="L232" s="91" t="s">
        <v>404</v>
      </c>
      <c r="M232" s="91" t="s">
        <v>1156</v>
      </c>
      <c r="N232" s="91" t="s">
        <v>405</v>
      </c>
      <c r="O232" s="96" t="str">
        <f aca="false">CO_ORDINATES(N232)</f>
        <v>55.880892349999996,26.5047759361483</v>
      </c>
      <c r="Q232" s="91" t="n">
        <v>1</v>
      </c>
    </row>
    <row r="233" s="91" customFormat="true" ht="12.75" hidden="false" customHeight="false" outlineLevel="0" collapsed="false">
      <c r="A233" s="91" t="s">
        <v>718</v>
      </c>
      <c r="B233" s="91" t="s">
        <v>1168</v>
      </c>
      <c r="C233" s="91" t="s">
        <v>771</v>
      </c>
      <c r="D233" s="91" t="s">
        <v>925</v>
      </c>
      <c r="E233" s="91" t="s">
        <v>926</v>
      </c>
      <c r="F233" s="91" t="n">
        <v>2014</v>
      </c>
      <c r="G233" s="91" t="n">
        <v>18000</v>
      </c>
      <c r="H233" s="91" t="n">
        <v>8003</v>
      </c>
      <c r="I233" s="91" t="s">
        <v>722</v>
      </c>
      <c r="J233" s="95" t="n">
        <v>45008</v>
      </c>
      <c r="K233" s="91" t="s">
        <v>406</v>
      </c>
      <c r="M233" s="91" t="s">
        <v>1169</v>
      </c>
      <c r="N233" s="91" t="s">
        <v>408</v>
      </c>
      <c r="O233" s="96" t="str">
        <f aca="false">CO_ORDINATES(N233)</f>
        <v>55.8747674,26.549251</v>
      </c>
      <c r="Q233" s="91" t="n">
        <v>1</v>
      </c>
    </row>
    <row r="234" s="91" customFormat="true" ht="12.75" hidden="false" customHeight="false" outlineLevel="0" collapsed="false">
      <c r="A234" s="91" t="s">
        <v>718</v>
      </c>
      <c r="B234" s="91" t="s">
        <v>1170</v>
      </c>
      <c r="C234" s="91" t="s">
        <v>771</v>
      </c>
      <c r="D234" s="91" t="s">
        <v>925</v>
      </c>
      <c r="E234" s="91" t="s">
        <v>926</v>
      </c>
      <c r="F234" s="91" t="n">
        <v>2015</v>
      </c>
      <c r="G234" s="91" t="n">
        <v>18000</v>
      </c>
      <c r="H234" s="91" t="n">
        <v>8432</v>
      </c>
      <c r="I234" s="91" t="s">
        <v>722</v>
      </c>
      <c r="J234" s="95" t="n">
        <v>44747</v>
      </c>
      <c r="K234" s="91" t="s">
        <v>406</v>
      </c>
      <c r="M234" s="91" t="s">
        <v>1169</v>
      </c>
      <c r="N234" s="91" t="s">
        <v>1171</v>
      </c>
      <c r="O234" s="96" t="str">
        <f aca="false">CO_ORDINATES(N234)</f>
        <v>55.8747674,26.549251</v>
      </c>
      <c r="Q234" s="91" t="n">
        <v>1</v>
      </c>
    </row>
    <row r="235" s="91" customFormat="true" ht="12.75" hidden="false" customHeight="false" outlineLevel="0" collapsed="false">
      <c r="A235" s="91" t="s">
        <v>718</v>
      </c>
      <c r="B235" s="91" t="s">
        <v>1172</v>
      </c>
      <c r="C235" s="91" t="s">
        <v>771</v>
      </c>
      <c r="D235" s="91" t="s">
        <v>925</v>
      </c>
      <c r="E235" s="91" t="s">
        <v>926</v>
      </c>
      <c r="F235" s="91" t="n">
        <v>2015</v>
      </c>
      <c r="G235" s="91" t="n">
        <v>18000</v>
      </c>
      <c r="H235" s="91" t="n">
        <v>8422</v>
      </c>
      <c r="I235" s="91" t="s">
        <v>722</v>
      </c>
      <c r="J235" s="95" t="n">
        <v>44775</v>
      </c>
      <c r="K235" s="91" t="s">
        <v>406</v>
      </c>
      <c r="M235" s="91" t="s">
        <v>1169</v>
      </c>
      <c r="N235" s="91" t="s">
        <v>1171</v>
      </c>
      <c r="O235" s="96" t="str">
        <f aca="false">CO_ORDINATES(N235)</f>
        <v>55.8747674,26.549251</v>
      </c>
      <c r="Q235" s="91" t="n">
        <v>1</v>
      </c>
    </row>
    <row r="236" customFormat="false" ht="12.75" hidden="false" customHeight="false" outlineLevel="0" collapsed="false">
      <c r="A236" s="91" t="s">
        <v>718</v>
      </c>
      <c r="B236" s="91" t="s">
        <v>1173</v>
      </c>
      <c r="C236" s="91" t="s">
        <v>771</v>
      </c>
      <c r="D236" s="91" t="s">
        <v>925</v>
      </c>
      <c r="E236" s="91" t="s">
        <v>926</v>
      </c>
      <c r="F236" s="91" t="n">
        <v>2015</v>
      </c>
      <c r="G236" s="91" t="n">
        <v>18000</v>
      </c>
      <c r="H236" s="91" t="n">
        <v>8432</v>
      </c>
      <c r="I236" s="91" t="s">
        <v>722</v>
      </c>
      <c r="J236" s="95" t="n">
        <v>44791</v>
      </c>
      <c r="K236" s="91" t="s">
        <v>406</v>
      </c>
      <c r="L236" s="91" t="s">
        <v>1174</v>
      </c>
      <c r="M236" s="91" t="s">
        <v>1169</v>
      </c>
      <c r="N236" s="91" t="s">
        <v>1171</v>
      </c>
      <c r="O236" s="96" t="str">
        <f aca="false">CO_ORDINATES(N236)</f>
        <v>55.8747674,26.549251</v>
      </c>
      <c r="Q236" s="91" t="n">
        <v>1</v>
      </c>
    </row>
    <row r="237" s="91" customFormat="true" ht="12.75" hidden="false" customHeight="false" outlineLevel="0" collapsed="false">
      <c r="A237" s="91" t="s">
        <v>718</v>
      </c>
      <c r="B237" s="91" t="s">
        <v>1175</v>
      </c>
      <c r="C237" s="91" t="s">
        <v>748</v>
      </c>
      <c r="D237" s="91" t="s">
        <v>749</v>
      </c>
      <c r="E237" s="91" t="s">
        <v>354</v>
      </c>
      <c r="F237" s="91" t="n">
        <v>2014</v>
      </c>
      <c r="G237" s="91" t="n">
        <v>18000</v>
      </c>
      <c r="H237" s="91" t="n">
        <v>8485</v>
      </c>
      <c r="I237" s="91" t="s">
        <v>722</v>
      </c>
      <c r="J237" s="95" t="n">
        <v>44777</v>
      </c>
      <c r="K237" s="91" t="s">
        <v>409</v>
      </c>
      <c r="M237" s="91" t="s">
        <v>1176</v>
      </c>
      <c r="N237" s="91" t="s">
        <v>411</v>
      </c>
      <c r="O237" s="98" t="s">
        <v>1177</v>
      </c>
      <c r="Q237" s="91" t="n">
        <v>1</v>
      </c>
    </row>
    <row r="238" s="91" customFormat="true" ht="12.75" hidden="false" customHeight="false" outlineLevel="0" collapsed="false">
      <c r="A238" s="91" t="s">
        <v>718</v>
      </c>
      <c r="B238" s="91" t="s">
        <v>1178</v>
      </c>
      <c r="C238" s="91" t="s">
        <v>748</v>
      </c>
      <c r="D238" s="91" t="s">
        <v>749</v>
      </c>
      <c r="E238" s="91" t="s">
        <v>354</v>
      </c>
      <c r="F238" s="91" t="n">
        <v>2014</v>
      </c>
      <c r="G238" s="91" t="n">
        <v>18000</v>
      </c>
      <c r="H238" s="91" t="n">
        <v>8485</v>
      </c>
      <c r="I238" s="91" t="s">
        <v>722</v>
      </c>
      <c r="J238" s="95" t="n">
        <v>44826</v>
      </c>
      <c r="K238" s="91" t="s">
        <v>409</v>
      </c>
      <c r="M238" s="91" t="s">
        <v>1176</v>
      </c>
      <c r="N238" s="91" t="s">
        <v>411</v>
      </c>
      <c r="O238" s="98" t="s">
        <v>1177</v>
      </c>
      <c r="Q238" s="91" t="n">
        <v>1</v>
      </c>
    </row>
    <row r="239" s="91" customFormat="true" ht="12.75" hidden="false" customHeight="false" outlineLevel="0" collapsed="false">
      <c r="A239" s="91" t="s">
        <v>718</v>
      </c>
      <c r="B239" s="91" t="s">
        <v>1179</v>
      </c>
      <c r="C239" s="91" t="s">
        <v>748</v>
      </c>
      <c r="D239" s="91" t="s">
        <v>749</v>
      </c>
      <c r="E239" s="91" t="s">
        <v>354</v>
      </c>
      <c r="F239" s="91" t="n">
        <v>2014</v>
      </c>
      <c r="G239" s="91" t="n">
        <v>18000</v>
      </c>
      <c r="H239" s="91" t="n">
        <v>8485</v>
      </c>
      <c r="I239" s="91" t="s">
        <v>722</v>
      </c>
      <c r="J239" s="95" t="n">
        <v>44992</v>
      </c>
      <c r="K239" s="91" t="s">
        <v>409</v>
      </c>
      <c r="M239" s="91" t="s">
        <v>1176</v>
      </c>
      <c r="N239" s="91" t="s">
        <v>411</v>
      </c>
      <c r="O239" s="98" t="s">
        <v>1177</v>
      </c>
      <c r="Q239" s="91" t="n">
        <v>1</v>
      </c>
    </row>
    <row r="240" s="91" customFormat="true" ht="12.75" hidden="false" customHeight="false" outlineLevel="0" collapsed="false">
      <c r="A240" s="91" t="s">
        <v>718</v>
      </c>
      <c r="B240" s="91" t="s">
        <v>1180</v>
      </c>
      <c r="C240" s="91" t="s">
        <v>748</v>
      </c>
      <c r="D240" s="91" t="s">
        <v>749</v>
      </c>
      <c r="E240" s="91" t="s">
        <v>354</v>
      </c>
      <c r="F240" s="91" t="n">
        <v>2014</v>
      </c>
      <c r="G240" s="91" t="n">
        <v>18000</v>
      </c>
      <c r="H240" s="91" t="n">
        <v>8485</v>
      </c>
      <c r="I240" s="91" t="s">
        <v>722</v>
      </c>
      <c r="J240" s="95" t="n">
        <v>45037</v>
      </c>
      <c r="K240" s="91" t="s">
        <v>409</v>
      </c>
      <c r="M240" s="91" t="s">
        <v>1176</v>
      </c>
      <c r="N240" s="91" t="s">
        <v>411</v>
      </c>
      <c r="O240" s="98" t="s">
        <v>1177</v>
      </c>
      <c r="Q240" s="91" t="n">
        <v>1</v>
      </c>
    </row>
    <row r="241" s="91" customFormat="true" ht="12.75" hidden="false" customHeight="false" outlineLevel="0" collapsed="false">
      <c r="A241" s="91" t="s">
        <v>718</v>
      </c>
      <c r="B241" s="91" t="s">
        <v>1181</v>
      </c>
      <c r="C241" s="91" t="s">
        <v>748</v>
      </c>
      <c r="D241" s="91" t="s">
        <v>749</v>
      </c>
      <c r="E241" s="91" t="s">
        <v>354</v>
      </c>
      <c r="F241" s="91" t="n">
        <v>2014</v>
      </c>
      <c r="G241" s="91" t="n">
        <v>18000</v>
      </c>
      <c r="H241" s="91" t="n">
        <v>8485</v>
      </c>
      <c r="I241" s="91" t="s">
        <v>722</v>
      </c>
      <c r="J241" s="95" t="n">
        <v>45058</v>
      </c>
      <c r="K241" s="91" t="s">
        <v>409</v>
      </c>
      <c r="M241" s="91" t="s">
        <v>1176</v>
      </c>
      <c r="N241" s="91" t="s">
        <v>411</v>
      </c>
      <c r="O241" s="98" t="s">
        <v>1177</v>
      </c>
      <c r="Q241" s="91" t="n">
        <v>1</v>
      </c>
    </row>
    <row r="242" s="91" customFormat="true" ht="12.75" hidden="false" customHeight="false" outlineLevel="0" collapsed="false">
      <c r="A242" s="91" t="s">
        <v>718</v>
      </c>
      <c r="B242" s="91" t="s">
        <v>1182</v>
      </c>
      <c r="C242" s="91" t="s">
        <v>727</v>
      </c>
      <c r="D242" s="91" t="s">
        <v>782</v>
      </c>
      <c r="E242" s="91" t="s">
        <v>783</v>
      </c>
      <c r="F242" s="91" t="n">
        <v>2020</v>
      </c>
      <c r="G242" s="91" t="n">
        <v>18000</v>
      </c>
      <c r="H242" s="91" t="n">
        <v>8557</v>
      </c>
      <c r="I242" s="91" t="s">
        <v>722</v>
      </c>
      <c r="J242" s="95" t="n">
        <v>44834</v>
      </c>
      <c r="K242" s="91" t="s">
        <v>409</v>
      </c>
      <c r="M242" s="91" t="s">
        <v>1176</v>
      </c>
      <c r="N242" s="91" t="s">
        <v>411</v>
      </c>
      <c r="O242" s="98" t="s">
        <v>1177</v>
      </c>
      <c r="Q242" s="91" t="n">
        <v>1</v>
      </c>
    </row>
    <row r="243" s="91" customFormat="true" ht="12.75" hidden="false" customHeight="false" outlineLevel="0" collapsed="false">
      <c r="A243" s="91" t="s">
        <v>718</v>
      </c>
      <c r="B243" s="91" t="s">
        <v>1183</v>
      </c>
      <c r="C243" s="91" t="s">
        <v>727</v>
      </c>
      <c r="D243" s="91" t="s">
        <v>782</v>
      </c>
      <c r="E243" s="91" t="s">
        <v>783</v>
      </c>
      <c r="F243" s="91" t="n">
        <v>2020</v>
      </c>
      <c r="G243" s="91" t="n">
        <v>18000</v>
      </c>
      <c r="H243" s="91" t="n">
        <v>8557</v>
      </c>
      <c r="I243" s="91" t="s">
        <v>722</v>
      </c>
      <c r="J243" s="95" t="n">
        <v>44839</v>
      </c>
      <c r="K243" s="91" t="s">
        <v>409</v>
      </c>
      <c r="M243" s="91" t="s">
        <v>1176</v>
      </c>
      <c r="N243" s="91" t="s">
        <v>411</v>
      </c>
      <c r="O243" s="98" t="s">
        <v>1177</v>
      </c>
      <c r="Q243" s="91" t="n">
        <v>1</v>
      </c>
    </row>
    <row r="244" s="91" customFormat="true" ht="12.75" hidden="false" customHeight="false" outlineLevel="0" collapsed="false">
      <c r="A244" s="91" t="s">
        <v>718</v>
      </c>
      <c r="B244" s="91" t="s">
        <v>1184</v>
      </c>
      <c r="C244" s="91" t="s">
        <v>727</v>
      </c>
      <c r="D244" s="91" t="s">
        <v>782</v>
      </c>
      <c r="E244" s="91" t="s">
        <v>783</v>
      </c>
      <c r="F244" s="91" t="n">
        <v>2020</v>
      </c>
      <c r="G244" s="91" t="n">
        <v>18000</v>
      </c>
      <c r="H244" s="91" t="n">
        <v>8545</v>
      </c>
      <c r="I244" s="91" t="s">
        <v>722</v>
      </c>
      <c r="J244" s="95" t="n">
        <v>44851</v>
      </c>
      <c r="K244" s="91" t="s">
        <v>409</v>
      </c>
      <c r="M244" s="91" t="s">
        <v>1176</v>
      </c>
      <c r="N244" s="91" t="s">
        <v>411</v>
      </c>
      <c r="O244" s="98" t="s">
        <v>1177</v>
      </c>
      <c r="Q244" s="91" t="n">
        <v>1</v>
      </c>
    </row>
    <row r="245" s="91" customFormat="true" ht="12.75" hidden="false" customHeight="false" outlineLevel="0" collapsed="false">
      <c r="A245" s="91" t="s">
        <v>718</v>
      </c>
      <c r="B245" s="91" t="s">
        <v>1185</v>
      </c>
      <c r="C245" s="91" t="s">
        <v>727</v>
      </c>
      <c r="D245" s="91" t="s">
        <v>782</v>
      </c>
      <c r="E245" s="91" t="s">
        <v>783</v>
      </c>
      <c r="F245" s="91" t="n">
        <v>2020</v>
      </c>
      <c r="G245" s="91" t="n">
        <v>18000</v>
      </c>
      <c r="H245" s="91" t="n">
        <v>8545</v>
      </c>
      <c r="I245" s="91" t="s">
        <v>722</v>
      </c>
      <c r="J245" s="95" t="n">
        <v>44859</v>
      </c>
      <c r="K245" s="91" t="s">
        <v>409</v>
      </c>
      <c r="M245" s="91" t="s">
        <v>1176</v>
      </c>
      <c r="N245" s="91" t="s">
        <v>411</v>
      </c>
      <c r="O245" s="98" t="s">
        <v>1177</v>
      </c>
      <c r="Q245" s="91" t="n">
        <v>1</v>
      </c>
    </row>
    <row r="246" s="91" customFormat="true" ht="12.75" hidden="false" customHeight="false" outlineLevel="0" collapsed="false">
      <c r="A246" s="91" t="s">
        <v>718</v>
      </c>
      <c r="B246" s="91" t="s">
        <v>1186</v>
      </c>
      <c r="C246" s="91" t="s">
        <v>727</v>
      </c>
      <c r="D246" s="91" t="s">
        <v>782</v>
      </c>
      <c r="E246" s="91" t="s">
        <v>783</v>
      </c>
      <c r="F246" s="91" t="n">
        <v>2020</v>
      </c>
      <c r="G246" s="91" t="n">
        <v>18000</v>
      </c>
      <c r="H246" s="91" t="n">
        <v>8545</v>
      </c>
      <c r="I246" s="91" t="s">
        <v>722</v>
      </c>
      <c r="J246" s="95" t="n">
        <v>44880</v>
      </c>
      <c r="K246" s="91" t="s">
        <v>409</v>
      </c>
      <c r="M246" s="91" t="s">
        <v>1176</v>
      </c>
      <c r="N246" s="91" t="s">
        <v>411</v>
      </c>
      <c r="O246" s="98" t="s">
        <v>1177</v>
      </c>
      <c r="Q246" s="91" t="n">
        <v>1</v>
      </c>
    </row>
    <row r="247" s="91" customFormat="true" ht="12.75" hidden="false" customHeight="false" outlineLevel="0" collapsed="false">
      <c r="A247" s="91" t="s">
        <v>718</v>
      </c>
      <c r="B247" s="91" t="s">
        <v>1187</v>
      </c>
      <c r="C247" s="91" t="s">
        <v>727</v>
      </c>
      <c r="D247" s="91" t="s">
        <v>782</v>
      </c>
      <c r="E247" s="91" t="s">
        <v>783</v>
      </c>
      <c r="F247" s="91" t="n">
        <v>2020</v>
      </c>
      <c r="G247" s="91" t="n">
        <v>18000</v>
      </c>
      <c r="H247" s="91" t="n">
        <v>8545</v>
      </c>
      <c r="I247" s="91" t="s">
        <v>722</v>
      </c>
      <c r="J247" s="95" t="n">
        <v>44904</v>
      </c>
      <c r="K247" s="91" t="s">
        <v>409</v>
      </c>
      <c r="M247" s="91" t="s">
        <v>1176</v>
      </c>
      <c r="N247" s="91" t="s">
        <v>411</v>
      </c>
      <c r="O247" s="98" t="s">
        <v>1177</v>
      </c>
      <c r="Q247" s="91" t="n">
        <v>1</v>
      </c>
    </row>
    <row r="248" customFormat="false" ht="12.75" hidden="false" customHeight="false" outlineLevel="0" collapsed="false">
      <c r="A248" s="91" t="s">
        <v>718</v>
      </c>
      <c r="B248" s="91" t="s">
        <v>1188</v>
      </c>
      <c r="C248" s="91" t="s">
        <v>727</v>
      </c>
      <c r="D248" s="91" t="s">
        <v>782</v>
      </c>
      <c r="E248" s="91" t="s">
        <v>783</v>
      </c>
      <c r="F248" s="91" t="n">
        <v>2019</v>
      </c>
      <c r="G248" s="91" t="n">
        <v>18000</v>
      </c>
      <c r="H248" s="91" t="n">
        <v>8539</v>
      </c>
      <c r="I248" s="91" t="s">
        <v>722</v>
      </c>
      <c r="J248" s="95" t="n">
        <v>45002</v>
      </c>
      <c r="K248" s="91" t="s">
        <v>409</v>
      </c>
      <c r="L248" s="91" t="s">
        <v>1189</v>
      </c>
      <c r="M248" s="91" t="s">
        <v>1176</v>
      </c>
      <c r="N248" s="91" t="s">
        <v>411</v>
      </c>
      <c r="O248" s="98" t="s">
        <v>1177</v>
      </c>
      <c r="Q248" s="91" t="n">
        <v>1</v>
      </c>
    </row>
    <row r="249" s="91" customFormat="true" ht="12.75" hidden="false" customHeight="false" outlineLevel="0" collapsed="false">
      <c r="A249" s="91" t="s">
        <v>718</v>
      </c>
      <c r="B249" s="91" t="s">
        <v>1190</v>
      </c>
      <c r="C249" s="91" t="s">
        <v>720</v>
      </c>
      <c r="D249" s="91" t="s">
        <v>721</v>
      </c>
      <c r="E249" s="91" t="s">
        <v>351</v>
      </c>
      <c r="F249" s="91" t="n">
        <v>2007</v>
      </c>
      <c r="G249" s="91" t="n">
        <v>20500</v>
      </c>
      <c r="H249" s="91" t="n">
        <v>8740</v>
      </c>
      <c r="I249" s="91" t="s">
        <v>722</v>
      </c>
      <c r="J249" s="95" t="n">
        <v>44754</v>
      </c>
      <c r="K249" s="91" t="s">
        <v>412</v>
      </c>
      <c r="M249" s="91" t="s">
        <v>1191</v>
      </c>
      <c r="N249" s="91" t="s">
        <v>414</v>
      </c>
      <c r="O249" s="96" t="str">
        <f aca="false">CO_ORDINATES(N249)</f>
        <v>55.8746158,26.5104389</v>
      </c>
      <c r="Q249" s="91" t="n">
        <v>1</v>
      </c>
    </row>
    <row r="250" s="91" customFormat="true" ht="12.75" hidden="false" customHeight="false" outlineLevel="0" collapsed="false">
      <c r="A250" s="91" t="s">
        <v>718</v>
      </c>
      <c r="B250" s="91" t="s">
        <v>1192</v>
      </c>
      <c r="C250" s="91" t="s">
        <v>720</v>
      </c>
      <c r="D250" s="91" t="s">
        <v>721</v>
      </c>
      <c r="E250" s="91" t="s">
        <v>351</v>
      </c>
      <c r="F250" s="91" t="n">
        <v>2008</v>
      </c>
      <c r="G250" s="91" t="n">
        <v>20500</v>
      </c>
      <c r="H250" s="91" t="n">
        <v>8740</v>
      </c>
      <c r="I250" s="91" t="s">
        <v>722</v>
      </c>
      <c r="J250" s="95" t="n">
        <v>44852</v>
      </c>
      <c r="K250" s="91" t="s">
        <v>412</v>
      </c>
      <c r="M250" s="91" t="s">
        <v>1191</v>
      </c>
      <c r="N250" s="91" t="s">
        <v>414</v>
      </c>
      <c r="O250" s="96" t="str">
        <f aca="false">CO_ORDINATES(N250)</f>
        <v>55.8746158,26.5104389</v>
      </c>
      <c r="Q250" s="91" t="n">
        <v>1</v>
      </c>
    </row>
    <row r="251" s="91" customFormat="true" ht="12.75" hidden="false" customHeight="false" outlineLevel="0" collapsed="false">
      <c r="A251" s="91" t="s">
        <v>718</v>
      </c>
      <c r="B251" s="91" t="s">
        <v>1193</v>
      </c>
      <c r="C251" s="91" t="s">
        <v>720</v>
      </c>
      <c r="D251" s="91" t="s">
        <v>721</v>
      </c>
      <c r="E251" s="91" t="s">
        <v>351</v>
      </c>
      <c r="F251" s="91" t="n">
        <v>2012</v>
      </c>
      <c r="G251" s="91" t="n">
        <v>18000</v>
      </c>
      <c r="H251" s="91" t="n">
        <v>8540</v>
      </c>
      <c r="I251" s="91" t="s">
        <v>722</v>
      </c>
      <c r="J251" s="95" t="n">
        <v>44846</v>
      </c>
      <c r="K251" s="91" t="s">
        <v>412</v>
      </c>
      <c r="M251" s="91" t="s">
        <v>1191</v>
      </c>
      <c r="N251" s="91" t="s">
        <v>1194</v>
      </c>
      <c r="O251" s="96" t="str">
        <f aca="false">CO_ORDINATES(N251)</f>
        <v>55.8746158,26.5104389</v>
      </c>
      <c r="Q251" s="91" t="n">
        <v>1</v>
      </c>
    </row>
    <row r="252" s="91" customFormat="true" ht="12.75" hidden="false" customHeight="false" outlineLevel="0" collapsed="false">
      <c r="A252" s="91" t="s">
        <v>718</v>
      </c>
      <c r="B252" s="91" t="s">
        <v>1195</v>
      </c>
      <c r="C252" s="91" t="s">
        <v>720</v>
      </c>
      <c r="D252" s="91" t="s">
        <v>721</v>
      </c>
      <c r="E252" s="91" t="s">
        <v>351</v>
      </c>
      <c r="F252" s="91" t="n">
        <v>2007</v>
      </c>
      <c r="G252" s="91" t="n">
        <v>18000</v>
      </c>
      <c r="H252" s="91" t="n">
        <v>8680</v>
      </c>
      <c r="I252" s="91" t="s">
        <v>868</v>
      </c>
      <c r="J252" s="95" t="n">
        <v>44614</v>
      </c>
      <c r="K252" s="91" t="s">
        <v>412</v>
      </c>
      <c r="M252" s="91" t="s">
        <v>1191</v>
      </c>
      <c r="N252" s="91" t="s">
        <v>414</v>
      </c>
      <c r="O252" s="96" t="str">
        <f aca="false">CO_ORDINATES(N252)</f>
        <v>55.8746158,26.5104389</v>
      </c>
      <c r="Q252" s="91" t="n">
        <v>1</v>
      </c>
    </row>
    <row r="253" s="91" customFormat="true" ht="12.75" hidden="false" customHeight="false" outlineLevel="0" collapsed="false">
      <c r="A253" s="91" t="s">
        <v>718</v>
      </c>
      <c r="B253" s="91" t="s">
        <v>1196</v>
      </c>
      <c r="C253" s="91" t="s">
        <v>720</v>
      </c>
      <c r="D253" s="91" t="s">
        <v>721</v>
      </c>
      <c r="E253" s="91" t="s">
        <v>351</v>
      </c>
      <c r="F253" s="91" t="n">
        <v>2011</v>
      </c>
      <c r="G253" s="91" t="n">
        <v>18000</v>
      </c>
      <c r="H253" s="91" t="n">
        <v>8610</v>
      </c>
      <c r="I253" s="91" t="s">
        <v>722</v>
      </c>
      <c r="J253" s="95" t="n">
        <v>44803</v>
      </c>
      <c r="K253" s="91" t="s">
        <v>412</v>
      </c>
      <c r="M253" s="91" t="s">
        <v>1191</v>
      </c>
      <c r="N253" s="91" t="s">
        <v>414</v>
      </c>
      <c r="O253" s="96" t="str">
        <f aca="false">CO_ORDINATES(N253)</f>
        <v>55.8746158,26.5104389</v>
      </c>
      <c r="Q253" s="91" t="n">
        <v>1</v>
      </c>
    </row>
    <row r="254" s="91" customFormat="true" ht="12.75" hidden="false" customHeight="false" outlineLevel="0" collapsed="false">
      <c r="A254" s="91" t="s">
        <v>718</v>
      </c>
      <c r="B254" s="91" t="s">
        <v>1197</v>
      </c>
      <c r="C254" s="91" t="s">
        <v>720</v>
      </c>
      <c r="D254" s="91" t="s">
        <v>721</v>
      </c>
      <c r="E254" s="91" t="s">
        <v>351</v>
      </c>
      <c r="F254" s="91" t="n">
        <v>2007</v>
      </c>
      <c r="G254" s="91" t="n">
        <v>18000</v>
      </c>
      <c r="H254" s="91" t="n">
        <v>8470</v>
      </c>
      <c r="I254" s="91" t="s">
        <v>722</v>
      </c>
      <c r="J254" s="95" t="n">
        <v>44880</v>
      </c>
      <c r="K254" s="91" t="s">
        <v>412</v>
      </c>
      <c r="M254" s="91" t="s">
        <v>1191</v>
      </c>
      <c r="N254" s="91" t="s">
        <v>414</v>
      </c>
      <c r="O254" s="96" t="str">
        <f aca="false">CO_ORDINATES(N254)</f>
        <v>55.8746158,26.5104389</v>
      </c>
      <c r="Q254" s="91" t="n">
        <v>1</v>
      </c>
    </row>
    <row r="255" customFormat="false" ht="12.75" hidden="false" customHeight="false" outlineLevel="0" collapsed="false">
      <c r="A255" s="91" t="s">
        <v>718</v>
      </c>
      <c r="B255" s="91" t="s">
        <v>1198</v>
      </c>
      <c r="C255" s="91" t="s">
        <v>720</v>
      </c>
      <c r="D255" s="91" t="s">
        <v>725</v>
      </c>
      <c r="E255" s="91" t="s">
        <v>281</v>
      </c>
      <c r="F255" s="91" t="n">
        <v>2017</v>
      </c>
      <c r="G255" s="91" t="n">
        <v>18000</v>
      </c>
      <c r="H255" s="91" t="n">
        <v>8804</v>
      </c>
      <c r="I255" s="91" t="s">
        <v>722</v>
      </c>
      <c r="J255" s="95" t="n">
        <v>44973</v>
      </c>
      <c r="K255" s="91" t="s">
        <v>412</v>
      </c>
      <c r="L255" s="91" t="s">
        <v>1199</v>
      </c>
      <c r="M255" s="91" t="s">
        <v>1191</v>
      </c>
      <c r="N255" s="91" t="s">
        <v>414</v>
      </c>
      <c r="O255" s="96" t="str">
        <f aca="false">CO_ORDINATES(N255)</f>
        <v>55.8746158,26.5104389</v>
      </c>
      <c r="Q255" s="91" t="n">
        <v>1</v>
      </c>
    </row>
    <row r="256" customFormat="false" ht="26.25" hidden="false" customHeight="false" outlineLevel="0" collapsed="false">
      <c r="A256" s="97" t="s">
        <v>718</v>
      </c>
      <c r="B256" s="97" t="s">
        <v>1200</v>
      </c>
      <c r="C256" s="97" t="s">
        <v>731</v>
      </c>
      <c r="D256" s="97" t="s">
        <v>860</v>
      </c>
      <c r="E256" s="97" t="s">
        <v>861</v>
      </c>
      <c r="F256" s="97" t="n">
        <v>2000</v>
      </c>
      <c r="G256" s="97" t="n">
        <v>34000</v>
      </c>
      <c r="H256" s="97" t="n">
        <v>8500</v>
      </c>
      <c r="I256" s="97" t="s">
        <v>722</v>
      </c>
      <c r="J256" s="99" t="n">
        <v>44999</v>
      </c>
      <c r="K256" s="97" t="s">
        <v>1201</v>
      </c>
      <c r="L256" s="97"/>
      <c r="M256" s="97" t="s">
        <v>1202</v>
      </c>
      <c r="N256" s="97" t="s">
        <v>1203</v>
      </c>
      <c r="O256" s="98" t="e">
        <f aca="false">CO_ORDINATES(N256)</f>
        <v>#VALUE!</v>
      </c>
      <c r="P256" s="101" t="s">
        <v>1204</v>
      </c>
      <c r="Q256" s="97" t="n">
        <v>1</v>
      </c>
    </row>
    <row r="257" customFormat="false" ht="12.75" hidden="false" customHeight="false" outlineLevel="0" collapsed="false">
      <c r="A257" s="97" t="s">
        <v>718</v>
      </c>
      <c r="B257" s="97" t="s">
        <v>1205</v>
      </c>
      <c r="C257" s="97" t="s">
        <v>771</v>
      </c>
      <c r="D257" s="97" t="s">
        <v>1206</v>
      </c>
      <c r="E257" s="97" t="s">
        <v>1207</v>
      </c>
      <c r="F257" s="97" t="n">
        <v>2019</v>
      </c>
      <c r="G257" s="97" t="n">
        <v>28000</v>
      </c>
      <c r="H257" s="97" t="n">
        <v>10380</v>
      </c>
      <c r="I257" s="97" t="s">
        <v>722</v>
      </c>
      <c r="J257" s="99" t="n">
        <v>44897</v>
      </c>
      <c r="K257" s="97" t="s">
        <v>1201</v>
      </c>
      <c r="L257" s="97"/>
      <c r="M257" s="97" t="s">
        <v>1202</v>
      </c>
      <c r="N257" s="97" t="s">
        <v>1208</v>
      </c>
      <c r="O257" s="98" t="e">
        <f aca="false">CO_ORDINATES(N257)</f>
        <v>#VALUE!</v>
      </c>
      <c r="P257" s="97"/>
      <c r="Q257" s="97" t="n">
        <v>1</v>
      </c>
    </row>
    <row r="258" customFormat="false" ht="12.75" hidden="false" customHeight="false" outlineLevel="0" collapsed="false">
      <c r="A258" s="97" t="s">
        <v>718</v>
      </c>
      <c r="B258" s="97" t="s">
        <v>1209</v>
      </c>
      <c r="C258" s="97" t="s">
        <v>731</v>
      </c>
      <c r="D258" s="97" t="s">
        <v>1210</v>
      </c>
      <c r="E258" s="97" t="s">
        <v>1211</v>
      </c>
      <c r="F258" s="97" t="n">
        <v>2001</v>
      </c>
      <c r="G258" s="97" t="n">
        <v>27000</v>
      </c>
      <c r="H258" s="97" t="n">
        <v>10400</v>
      </c>
      <c r="I258" s="97" t="s">
        <v>722</v>
      </c>
      <c r="J258" s="99" t="n">
        <v>44951</v>
      </c>
      <c r="K258" s="97" t="s">
        <v>1201</v>
      </c>
      <c r="L258" s="97"/>
      <c r="M258" s="97" t="s">
        <v>1202</v>
      </c>
      <c r="N258" s="97" t="s">
        <v>1208</v>
      </c>
      <c r="O258" s="98" t="e">
        <f aca="false">CO_ORDINATES(N258)</f>
        <v>#VALUE!</v>
      </c>
      <c r="P258" s="97"/>
      <c r="Q258" s="97" t="n">
        <v>1</v>
      </c>
    </row>
    <row r="259" customFormat="false" ht="12.75" hidden="false" customHeight="false" outlineLevel="0" collapsed="false">
      <c r="A259" s="91" t="s">
        <v>718</v>
      </c>
      <c r="B259" s="91" t="s">
        <v>1212</v>
      </c>
      <c r="C259" s="91" t="s">
        <v>1213</v>
      </c>
      <c r="D259" s="91" t="s">
        <v>1214</v>
      </c>
      <c r="E259" s="91" t="s">
        <v>1215</v>
      </c>
      <c r="F259" s="91" t="n">
        <v>1999</v>
      </c>
      <c r="G259" s="91" t="n">
        <v>10600</v>
      </c>
      <c r="H259" s="91" t="n">
        <v>6500</v>
      </c>
      <c r="I259" s="91" t="s">
        <v>722</v>
      </c>
      <c r="J259" s="95" t="n">
        <v>45049</v>
      </c>
      <c r="K259" s="91" t="s">
        <v>1201</v>
      </c>
      <c r="L259" s="91" t="s">
        <v>1216</v>
      </c>
      <c r="M259" s="91" t="s">
        <v>1202</v>
      </c>
      <c r="N259" s="91" t="s">
        <v>1208</v>
      </c>
      <c r="O259" s="98" t="e">
        <f aca="false">CO_ORDINATES(N259)</f>
        <v>#VALUE!</v>
      </c>
      <c r="Q259" s="91" t="n">
        <v>1</v>
      </c>
    </row>
    <row r="260" s="91" customFormat="true" ht="12.75" hidden="false" customHeight="false" outlineLevel="0" collapsed="false">
      <c r="A260" s="91" t="s">
        <v>718</v>
      </c>
      <c r="B260" s="91" t="s">
        <v>1217</v>
      </c>
      <c r="C260" s="91" t="s">
        <v>771</v>
      </c>
      <c r="D260" s="91" t="s">
        <v>938</v>
      </c>
      <c r="E260" s="91" t="s">
        <v>524</v>
      </c>
      <c r="F260" s="91" t="n">
        <v>2006</v>
      </c>
      <c r="G260" s="91" t="n">
        <v>19000</v>
      </c>
      <c r="H260" s="91" t="n">
        <v>7120</v>
      </c>
      <c r="I260" s="91" t="s">
        <v>722</v>
      </c>
      <c r="J260" s="95" t="n">
        <v>45007</v>
      </c>
      <c r="K260" s="91" t="s">
        <v>415</v>
      </c>
      <c r="M260" s="91" t="s">
        <v>1218</v>
      </c>
      <c r="N260" s="91" t="s">
        <v>417</v>
      </c>
      <c r="O260" s="96" t="str">
        <f aca="false">CO_ORDINATES(N260)</f>
        <v>55.8760632,26.5457929</v>
      </c>
      <c r="Q260" s="91" t="n">
        <v>1</v>
      </c>
    </row>
    <row r="261" s="91" customFormat="true" ht="12.75" hidden="false" customHeight="false" outlineLevel="0" collapsed="false">
      <c r="A261" s="91" t="s">
        <v>718</v>
      </c>
      <c r="B261" s="91" t="s">
        <v>1219</v>
      </c>
      <c r="C261" s="91" t="s">
        <v>748</v>
      </c>
      <c r="D261" s="91" t="s">
        <v>749</v>
      </c>
      <c r="E261" s="91" t="s">
        <v>354</v>
      </c>
      <c r="F261" s="91" t="n">
        <v>2013</v>
      </c>
      <c r="G261" s="91" t="n">
        <v>19000</v>
      </c>
      <c r="H261" s="91" t="n">
        <v>8212</v>
      </c>
      <c r="I261" s="91" t="s">
        <v>722</v>
      </c>
      <c r="J261" s="95" t="n">
        <v>44932</v>
      </c>
      <c r="K261" s="91" t="s">
        <v>415</v>
      </c>
      <c r="M261" s="91" t="s">
        <v>1218</v>
      </c>
      <c r="N261" s="91" t="s">
        <v>1220</v>
      </c>
      <c r="O261" s="96" t="str">
        <f aca="false">CO_ORDINATES(N261)</f>
        <v>55.8760632,26.5457929</v>
      </c>
      <c r="Q261" s="91" t="n">
        <v>1</v>
      </c>
    </row>
    <row r="262" customFormat="false" ht="12.75" hidden="false" customHeight="false" outlineLevel="0" collapsed="false">
      <c r="A262" s="91" t="s">
        <v>718</v>
      </c>
      <c r="B262" s="91" t="s">
        <v>1221</v>
      </c>
      <c r="C262" s="91" t="s">
        <v>771</v>
      </c>
      <c r="D262" s="91" t="s">
        <v>938</v>
      </c>
      <c r="E262" s="91" t="s">
        <v>524</v>
      </c>
      <c r="F262" s="91" t="n">
        <v>2004</v>
      </c>
      <c r="G262" s="91" t="n">
        <v>18000</v>
      </c>
      <c r="H262" s="91" t="n">
        <v>7200</v>
      </c>
      <c r="I262" s="91" t="s">
        <v>722</v>
      </c>
      <c r="J262" s="95" t="n">
        <v>45002</v>
      </c>
      <c r="K262" s="91" t="s">
        <v>415</v>
      </c>
      <c r="L262" s="91" t="s">
        <v>416</v>
      </c>
      <c r="M262" s="91" t="s">
        <v>1218</v>
      </c>
      <c r="N262" s="91" t="s">
        <v>1222</v>
      </c>
      <c r="O262" s="96" t="str">
        <f aca="false">CO_ORDINATES(N262)</f>
        <v>55.8760632,26.5457929</v>
      </c>
      <c r="Q262" s="91" t="n">
        <v>1</v>
      </c>
    </row>
    <row r="263" s="91" customFormat="true" ht="12.75" hidden="false" customHeight="false" outlineLevel="0" collapsed="false">
      <c r="A263" s="91" t="s">
        <v>718</v>
      </c>
      <c r="B263" s="91" t="s">
        <v>1223</v>
      </c>
      <c r="C263" s="91" t="s">
        <v>731</v>
      </c>
      <c r="D263" s="91" t="s">
        <v>732</v>
      </c>
      <c r="E263" s="91" t="s">
        <v>200</v>
      </c>
      <c r="F263" s="91" t="n">
        <v>2013</v>
      </c>
      <c r="G263" s="91" t="n">
        <v>20000</v>
      </c>
      <c r="H263" s="91" t="n">
        <v>8733</v>
      </c>
      <c r="I263" s="91" t="s">
        <v>722</v>
      </c>
      <c r="J263" s="95" t="n">
        <v>45000</v>
      </c>
      <c r="K263" s="91" t="s">
        <v>418</v>
      </c>
      <c r="M263" s="91" t="s">
        <v>1224</v>
      </c>
      <c r="N263" s="91" t="s">
        <v>420</v>
      </c>
      <c r="O263" s="96" t="str">
        <f aca="false">CO_ORDINATES(N263)</f>
        <v>55.8781454,26.5179656</v>
      </c>
      <c r="Q263" s="91" t="n">
        <v>1</v>
      </c>
    </row>
    <row r="264" s="91" customFormat="true" ht="12.75" hidden="false" customHeight="false" outlineLevel="0" collapsed="false">
      <c r="A264" s="91" t="s">
        <v>718</v>
      </c>
      <c r="B264" s="91" t="s">
        <v>1225</v>
      </c>
      <c r="C264" s="91" t="s">
        <v>771</v>
      </c>
      <c r="D264" s="91" t="s">
        <v>925</v>
      </c>
      <c r="E264" s="91" t="s">
        <v>926</v>
      </c>
      <c r="F264" s="91" t="n">
        <v>2012</v>
      </c>
      <c r="G264" s="91" t="n">
        <v>18000</v>
      </c>
      <c r="H264" s="91" t="n">
        <v>8033</v>
      </c>
      <c r="I264" s="91" t="s">
        <v>722</v>
      </c>
      <c r="J264" s="95" t="n">
        <v>45041</v>
      </c>
      <c r="K264" s="91" t="s">
        <v>418</v>
      </c>
      <c r="M264" s="91" t="s">
        <v>1224</v>
      </c>
      <c r="N264" s="91" t="s">
        <v>1226</v>
      </c>
      <c r="O264" s="96" t="str">
        <f aca="false">CO_ORDINATES(N264)</f>
        <v>55.8781454,26.5179656</v>
      </c>
      <c r="Q264" s="91" t="n">
        <v>1</v>
      </c>
    </row>
    <row r="265" s="91" customFormat="true" ht="12.75" hidden="false" customHeight="false" outlineLevel="0" collapsed="false">
      <c r="A265" s="91" t="s">
        <v>718</v>
      </c>
      <c r="B265" s="91" t="s">
        <v>1227</v>
      </c>
      <c r="C265" s="91" t="s">
        <v>748</v>
      </c>
      <c r="D265" s="91" t="s">
        <v>749</v>
      </c>
      <c r="E265" s="91" t="s">
        <v>354</v>
      </c>
      <c r="F265" s="91" t="n">
        <v>2015</v>
      </c>
      <c r="G265" s="91" t="n">
        <v>18000</v>
      </c>
      <c r="H265" s="91" t="n">
        <v>8435</v>
      </c>
      <c r="I265" s="91" t="s">
        <v>722</v>
      </c>
      <c r="J265" s="95" t="n">
        <v>44754</v>
      </c>
      <c r="K265" s="91" t="s">
        <v>418</v>
      </c>
      <c r="M265" s="91" t="s">
        <v>1224</v>
      </c>
      <c r="N265" s="91" t="s">
        <v>1226</v>
      </c>
      <c r="O265" s="96" t="str">
        <f aca="false">CO_ORDINATES(N265)</f>
        <v>55.8781454,26.5179656</v>
      </c>
      <c r="Q265" s="91" t="n">
        <v>1</v>
      </c>
    </row>
    <row r="266" s="91" customFormat="true" ht="12.75" hidden="false" customHeight="false" outlineLevel="0" collapsed="false">
      <c r="A266" s="91" t="s">
        <v>718</v>
      </c>
      <c r="B266" s="91" t="s">
        <v>1228</v>
      </c>
      <c r="C266" s="91" t="s">
        <v>748</v>
      </c>
      <c r="D266" s="91" t="s">
        <v>749</v>
      </c>
      <c r="E266" s="91" t="s">
        <v>354</v>
      </c>
      <c r="F266" s="91" t="n">
        <v>2015</v>
      </c>
      <c r="G266" s="91" t="n">
        <v>18000</v>
      </c>
      <c r="H266" s="91" t="n">
        <v>8497</v>
      </c>
      <c r="I266" s="91" t="s">
        <v>722</v>
      </c>
      <c r="J266" s="95" t="n">
        <v>44760</v>
      </c>
      <c r="K266" s="91" t="s">
        <v>418</v>
      </c>
      <c r="M266" s="91" t="s">
        <v>1224</v>
      </c>
      <c r="N266" s="91" t="s">
        <v>1226</v>
      </c>
      <c r="O266" s="96" t="str">
        <f aca="false">CO_ORDINATES(N266)</f>
        <v>55.8781454,26.5179656</v>
      </c>
      <c r="Q266" s="91" t="n">
        <v>1</v>
      </c>
    </row>
    <row r="267" s="91" customFormat="true" ht="12.75" hidden="false" customHeight="false" outlineLevel="0" collapsed="false">
      <c r="A267" s="91" t="s">
        <v>718</v>
      </c>
      <c r="B267" s="91" t="s">
        <v>1229</v>
      </c>
      <c r="C267" s="91" t="s">
        <v>748</v>
      </c>
      <c r="D267" s="91" t="s">
        <v>749</v>
      </c>
      <c r="E267" s="91" t="s">
        <v>354</v>
      </c>
      <c r="F267" s="91" t="n">
        <v>2014</v>
      </c>
      <c r="G267" s="91" t="n">
        <v>18000</v>
      </c>
      <c r="H267" s="91" t="n">
        <v>8497</v>
      </c>
      <c r="I267" s="91" t="s">
        <v>868</v>
      </c>
      <c r="J267" s="95" t="n">
        <v>44972</v>
      </c>
      <c r="K267" s="91" t="s">
        <v>418</v>
      </c>
      <c r="M267" s="91" t="s">
        <v>1224</v>
      </c>
      <c r="N267" s="91" t="s">
        <v>1226</v>
      </c>
      <c r="O267" s="96" t="str">
        <f aca="false">CO_ORDINATES(N267)</f>
        <v>55.8781454,26.5179656</v>
      </c>
      <c r="Q267" s="91" t="n">
        <v>1</v>
      </c>
    </row>
    <row r="268" customFormat="false" ht="12.75" hidden="false" customHeight="false" outlineLevel="0" collapsed="false">
      <c r="A268" s="91" t="s">
        <v>718</v>
      </c>
      <c r="B268" s="91" t="s">
        <v>1230</v>
      </c>
      <c r="C268" s="91" t="s">
        <v>771</v>
      </c>
      <c r="D268" s="91" t="s">
        <v>1231</v>
      </c>
      <c r="E268" s="91" t="s">
        <v>473</v>
      </c>
      <c r="F268" s="91" t="n">
        <v>2011</v>
      </c>
      <c r="G268" s="91" t="n">
        <v>18000</v>
      </c>
      <c r="H268" s="91" t="n">
        <v>8100</v>
      </c>
      <c r="I268" s="91" t="s">
        <v>722</v>
      </c>
      <c r="J268" s="95" t="n">
        <v>45015</v>
      </c>
      <c r="K268" s="91" t="s">
        <v>418</v>
      </c>
      <c r="L268" s="91" t="s">
        <v>419</v>
      </c>
      <c r="M268" s="91" t="s">
        <v>1224</v>
      </c>
      <c r="N268" s="91" t="s">
        <v>420</v>
      </c>
      <c r="O268" s="96" t="str">
        <f aca="false">CO_ORDINATES(N268)</f>
        <v>55.8781454,26.5179656</v>
      </c>
      <c r="Q268" s="91" t="n">
        <v>1</v>
      </c>
    </row>
    <row r="269" customFormat="false" ht="12.75" hidden="false" customHeight="false" outlineLevel="0" collapsed="false">
      <c r="A269" s="91" t="s">
        <v>718</v>
      </c>
      <c r="B269" s="91" t="s">
        <v>1232</v>
      </c>
      <c r="C269" s="91" t="s">
        <v>720</v>
      </c>
      <c r="D269" s="91" t="s">
        <v>738</v>
      </c>
      <c r="E269" s="91" t="s">
        <v>206</v>
      </c>
      <c r="F269" s="91" t="n">
        <v>2012</v>
      </c>
      <c r="G269" s="91" t="n">
        <v>19000</v>
      </c>
      <c r="H269" s="91" t="n">
        <v>8370</v>
      </c>
      <c r="I269" s="91" t="s">
        <v>722</v>
      </c>
      <c r="J269" s="95" t="n">
        <v>45041</v>
      </c>
      <c r="K269" s="91" t="s">
        <v>421</v>
      </c>
      <c r="L269" s="91" t="s">
        <v>206</v>
      </c>
      <c r="M269" s="91" t="s">
        <v>1233</v>
      </c>
      <c r="N269" s="91" t="s">
        <v>422</v>
      </c>
      <c r="O269" s="98" t="e">
        <f aca="false">CO_ORDINATES(N269)</f>
        <v>#VALUE!</v>
      </c>
      <c r="Q269" s="91" t="n">
        <v>1</v>
      </c>
    </row>
    <row r="270" s="91" customFormat="true" ht="12.75" hidden="false" customHeight="false" outlineLevel="0" collapsed="false">
      <c r="A270" s="91" t="s">
        <v>718</v>
      </c>
      <c r="B270" s="91" t="s">
        <v>1234</v>
      </c>
      <c r="C270" s="91" t="s">
        <v>720</v>
      </c>
      <c r="D270" s="91" t="s">
        <v>801</v>
      </c>
      <c r="E270" s="91" t="s">
        <v>348</v>
      </c>
      <c r="F270" s="91" t="n">
        <v>2013</v>
      </c>
      <c r="G270" s="91" t="n">
        <v>19500</v>
      </c>
      <c r="H270" s="91" t="n">
        <v>8688</v>
      </c>
      <c r="I270" s="91" t="s">
        <v>722</v>
      </c>
      <c r="J270" s="95" t="n">
        <v>44811</v>
      </c>
      <c r="K270" s="91" t="s">
        <v>423</v>
      </c>
      <c r="M270" s="91" t="s">
        <v>1235</v>
      </c>
      <c r="N270" s="91" t="s">
        <v>425</v>
      </c>
      <c r="O270" s="96" t="str">
        <f aca="false">CO_ORDINATES(N270)</f>
        <v>55.8701511,26.5604589</v>
      </c>
      <c r="Q270" s="91" t="n">
        <v>1</v>
      </c>
    </row>
    <row r="271" s="91" customFormat="true" ht="12.75" hidden="false" customHeight="false" outlineLevel="0" collapsed="false">
      <c r="A271" s="91" t="s">
        <v>718</v>
      </c>
      <c r="B271" s="91" t="s">
        <v>1236</v>
      </c>
      <c r="C271" s="91" t="s">
        <v>720</v>
      </c>
      <c r="D271" s="91" t="s">
        <v>1237</v>
      </c>
      <c r="E271" s="91" t="s">
        <v>1238</v>
      </c>
      <c r="F271" s="91" t="n">
        <v>2020</v>
      </c>
      <c r="G271" s="91" t="n">
        <v>19500</v>
      </c>
      <c r="H271" s="91" t="n">
        <v>8429</v>
      </c>
      <c r="I271" s="91" t="s">
        <v>722</v>
      </c>
      <c r="J271" s="95" t="n">
        <v>44853</v>
      </c>
      <c r="K271" s="91" t="s">
        <v>423</v>
      </c>
      <c r="M271" s="91" t="s">
        <v>1235</v>
      </c>
      <c r="N271" s="91" t="s">
        <v>425</v>
      </c>
      <c r="O271" s="96" t="str">
        <f aca="false">CO_ORDINATES(N271)</f>
        <v>55.8701511,26.5604589</v>
      </c>
      <c r="Q271" s="91" t="n">
        <v>1</v>
      </c>
    </row>
    <row r="272" s="91" customFormat="true" ht="12.75" hidden="false" customHeight="false" outlineLevel="0" collapsed="false">
      <c r="A272" s="91" t="s">
        <v>718</v>
      </c>
      <c r="B272" s="91" t="s">
        <v>1239</v>
      </c>
      <c r="C272" s="91" t="s">
        <v>720</v>
      </c>
      <c r="D272" s="91" t="s">
        <v>1237</v>
      </c>
      <c r="E272" s="91" t="s">
        <v>1238</v>
      </c>
      <c r="F272" s="91" t="n">
        <v>2019</v>
      </c>
      <c r="G272" s="91" t="n">
        <v>19000</v>
      </c>
      <c r="H272" s="91" t="n">
        <v>8203</v>
      </c>
      <c r="I272" s="91" t="s">
        <v>722</v>
      </c>
      <c r="J272" s="95" t="n">
        <v>44923</v>
      </c>
      <c r="K272" s="91" t="s">
        <v>423</v>
      </c>
      <c r="M272" s="91" t="s">
        <v>1235</v>
      </c>
      <c r="N272" s="91" t="s">
        <v>425</v>
      </c>
      <c r="O272" s="96" t="str">
        <f aca="false">CO_ORDINATES(N272)</f>
        <v>55.8701511,26.5604589</v>
      </c>
      <c r="Q272" s="91" t="n">
        <v>1</v>
      </c>
    </row>
    <row r="273" s="91" customFormat="true" ht="12.75" hidden="false" customHeight="false" outlineLevel="0" collapsed="false">
      <c r="A273" s="91" t="s">
        <v>718</v>
      </c>
      <c r="B273" s="91" t="s">
        <v>1240</v>
      </c>
      <c r="C273" s="91" t="s">
        <v>720</v>
      </c>
      <c r="D273" s="91" t="s">
        <v>725</v>
      </c>
      <c r="E273" s="91" t="s">
        <v>281</v>
      </c>
      <c r="F273" s="91" t="n">
        <v>2015</v>
      </c>
      <c r="G273" s="91" t="n">
        <v>18000</v>
      </c>
      <c r="H273" s="91" t="n">
        <v>8784</v>
      </c>
      <c r="I273" s="91" t="s">
        <v>722</v>
      </c>
      <c r="J273" s="95" t="n">
        <v>44742</v>
      </c>
      <c r="K273" s="91" t="s">
        <v>423</v>
      </c>
      <c r="M273" s="91" t="s">
        <v>1235</v>
      </c>
      <c r="N273" s="91" t="s">
        <v>425</v>
      </c>
      <c r="O273" s="96" t="str">
        <f aca="false">CO_ORDINATES(N273)</f>
        <v>55.8701511,26.5604589</v>
      </c>
      <c r="Q273" s="91" t="n">
        <v>1</v>
      </c>
    </row>
    <row r="274" s="91" customFormat="true" ht="12.75" hidden="false" customHeight="false" outlineLevel="0" collapsed="false">
      <c r="A274" s="91" t="s">
        <v>718</v>
      </c>
      <c r="B274" s="91" t="s">
        <v>1241</v>
      </c>
      <c r="C274" s="91" t="s">
        <v>720</v>
      </c>
      <c r="D274" s="91" t="s">
        <v>725</v>
      </c>
      <c r="E274" s="91" t="s">
        <v>281</v>
      </c>
      <c r="F274" s="91" t="n">
        <v>2015</v>
      </c>
      <c r="G274" s="91" t="n">
        <v>18000</v>
      </c>
      <c r="H274" s="91" t="n">
        <v>8794</v>
      </c>
      <c r="I274" s="91" t="s">
        <v>722</v>
      </c>
      <c r="J274" s="95" t="n">
        <v>44763</v>
      </c>
      <c r="K274" s="91" t="s">
        <v>423</v>
      </c>
      <c r="M274" s="91" t="s">
        <v>1235</v>
      </c>
      <c r="N274" s="91" t="s">
        <v>425</v>
      </c>
      <c r="O274" s="96" t="str">
        <f aca="false">CO_ORDINATES(N274)</f>
        <v>55.8701511,26.5604589</v>
      </c>
      <c r="Q274" s="91" t="n">
        <v>1</v>
      </c>
    </row>
    <row r="275" s="91" customFormat="true" ht="12.75" hidden="false" customHeight="false" outlineLevel="0" collapsed="false">
      <c r="A275" s="91" t="s">
        <v>718</v>
      </c>
      <c r="B275" s="91" t="s">
        <v>1242</v>
      </c>
      <c r="C275" s="91" t="s">
        <v>720</v>
      </c>
      <c r="D275" s="91" t="s">
        <v>725</v>
      </c>
      <c r="E275" s="91" t="s">
        <v>281</v>
      </c>
      <c r="F275" s="91" t="n">
        <v>2016</v>
      </c>
      <c r="G275" s="91" t="n">
        <v>18000</v>
      </c>
      <c r="H275" s="91" t="n">
        <v>8889</v>
      </c>
      <c r="I275" s="91" t="s">
        <v>722</v>
      </c>
      <c r="J275" s="95" t="n">
        <v>44817</v>
      </c>
      <c r="K275" s="91" t="s">
        <v>423</v>
      </c>
      <c r="M275" s="91" t="s">
        <v>1235</v>
      </c>
      <c r="N275" s="91" t="s">
        <v>425</v>
      </c>
      <c r="O275" s="96" t="str">
        <f aca="false">CO_ORDINATES(N275)</f>
        <v>55.8701511,26.5604589</v>
      </c>
      <c r="Q275" s="91" t="n">
        <v>1</v>
      </c>
    </row>
    <row r="276" s="91" customFormat="true" ht="12.75" hidden="false" customHeight="false" outlineLevel="0" collapsed="false">
      <c r="A276" s="91" t="s">
        <v>718</v>
      </c>
      <c r="B276" s="91" t="s">
        <v>1243</v>
      </c>
      <c r="C276" s="91" t="s">
        <v>720</v>
      </c>
      <c r="D276" s="91" t="s">
        <v>1244</v>
      </c>
      <c r="E276" s="91" t="s">
        <v>1245</v>
      </c>
      <c r="F276" s="91" t="n">
        <v>2020</v>
      </c>
      <c r="G276" s="91" t="n">
        <v>18000</v>
      </c>
      <c r="H276" s="91" t="n">
        <v>8577</v>
      </c>
      <c r="I276" s="91" t="s">
        <v>722</v>
      </c>
      <c r="J276" s="95" t="n">
        <v>44985</v>
      </c>
      <c r="K276" s="91" t="s">
        <v>423</v>
      </c>
      <c r="M276" s="91" t="s">
        <v>1235</v>
      </c>
      <c r="N276" s="91" t="s">
        <v>425</v>
      </c>
      <c r="O276" s="96" t="str">
        <f aca="false">CO_ORDINATES(N276)</f>
        <v>55.8701511,26.5604589</v>
      </c>
      <c r="Q276" s="91" t="n">
        <v>1</v>
      </c>
    </row>
    <row r="277" s="91" customFormat="true" ht="12.75" hidden="false" customHeight="false" outlineLevel="0" collapsed="false">
      <c r="A277" s="91" t="s">
        <v>718</v>
      </c>
      <c r="B277" s="91" t="s">
        <v>1246</v>
      </c>
      <c r="C277" s="91" t="s">
        <v>748</v>
      </c>
      <c r="D277" s="91" t="s">
        <v>749</v>
      </c>
      <c r="E277" s="91" t="s">
        <v>354</v>
      </c>
      <c r="F277" s="91" t="n">
        <v>2015</v>
      </c>
      <c r="G277" s="91" t="n">
        <v>18000</v>
      </c>
      <c r="H277" s="91" t="n">
        <v>8595</v>
      </c>
      <c r="I277" s="91" t="s">
        <v>722</v>
      </c>
      <c r="J277" s="95" t="n">
        <v>44846</v>
      </c>
      <c r="K277" s="91" t="s">
        <v>423</v>
      </c>
      <c r="M277" s="91" t="s">
        <v>1235</v>
      </c>
      <c r="N277" s="91" t="s">
        <v>425</v>
      </c>
      <c r="O277" s="96" t="str">
        <f aca="false">CO_ORDINATES(N277)</f>
        <v>55.8701511,26.5604589</v>
      </c>
      <c r="Q277" s="91" t="n">
        <v>1</v>
      </c>
    </row>
    <row r="278" s="91" customFormat="true" ht="12.75" hidden="false" customHeight="false" outlineLevel="0" collapsed="false">
      <c r="A278" s="91" t="s">
        <v>718</v>
      </c>
      <c r="B278" s="91" t="s">
        <v>1247</v>
      </c>
      <c r="C278" s="91" t="s">
        <v>748</v>
      </c>
      <c r="D278" s="91" t="s">
        <v>749</v>
      </c>
      <c r="E278" s="91" t="s">
        <v>354</v>
      </c>
      <c r="F278" s="91" t="n">
        <v>2016</v>
      </c>
      <c r="G278" s="91" t="n">
        <v>18000</v>
      </c>
      <c r="H278" s="91" t="n">
        <v>8473</v>
      </c>
      <c r="I278" s="91" t="s">
        <v>722</v>
      </c>
      <c r="J278" s="95" t="n">
        <v>44876</v>
      </c>
      <c r="K278" s="91" t="s">
        <v>423</v>
      </c>
      <c r="M278" s="91" t="s">
        <v>1235</v>
      </c>
      <c r="N278" s="91" t="s">
        <v>425</v>
      </c>
      <c r="O278" s="96" t="str">
        <f aca="false">CO_ORDINATES(N278)</f>
        <v>55.8701511,26.5604589</v>
      </c>
      <c r="Q278" s="91" t="n">
        <v>1</v>
      </c>
    </row>
    <row r="279" s="91" customFormat="true" ht="12.75" hidden="false" customHeight="false" outlineLevel="0" collapsed="false">
      <c r="A279" s="91" t="s">
        <v>718</v>
      </c>
      <c r="B279" s="91" t="s">
        <v>1248</v>
      </c>
      <c r="C279" s="91" t="s">
        <v>748</v>
      </c>
      <c r="D279" s="91" t="s">
        <v>749</v>
      </c>
      <c r="E279" s="91" t="s">
        <v>354</v>
      </c>
      <c r="F279" s="91" t="n">
        <v>2021</v>
      </c>
      <c r="G279" s="91" t="n">
        <v>18000</v>
      </c>
      <c r="H279" s="91" t="n">
        <v>8296</v>
      </c>
      <c r="I279" s="91" t="s">
        <v>722</v>
      </c>
      <c r="J279" s="95" t="n">
        <v>44981</v>
      </c>
      <c r="K279" s="91" t="s">
        <v>423</v>
      </c>
      <c r="M279" s="91" t="s">
        <v>1235</v>
      </c>
      <c r="N279" s="91" t="s">
        <v>425</v>
      </c>
      <c r="O279" s="96" t="str">
        <f aca="false">CO_ORDINATES(N279)</f>
        <v>55.8701511,26.5604589</v>
      </c>
      <c r="Q279" s="91" t="n">
        <v>1</v>
      </c>
    </row>
    <row r="280" s="91" customFormat="true" ht="12.75" hidden="false" customHeight="false" outlineLevel="0" collapsed="false">
      <c r="A280" s="91" t="s">
        <v>718</v>
      </c>
      <c r="B280" s="91" t="s">
        <v>1249</v>
      </c>
      <c r="C280" s="91" t="s">
        <v>748</v>
      </c>
      <c r="D280" s="91" t="s">
        <v>749</v>
      </c>
      <c r="E280" s="91" t="s">
        <v>354</v>
      </c>
      <c r="F280" s="91" t="n">
        <v>2021</v>
      </c>
      <c r="G280" s="91" t="n">
        <v>18000</v>
      </c>
      <c r="H280" s="91" t="n">
        <v>8427</v>
      </c>
      <c r="I280" s="91" t="s">
        <v>722</v>
      </c>
      <c r="J280" s="95" t="n">
        <v>44987</v>
      </c>
      <c r="K280" s="91" t="s">
        <v>423</v>
      </c>
      <c r="M280" s="91" t="s">
        <v>1235</v>
      </c>
      <c r="N280" s="91" t="s">
        <v>425</v>
      </c>
      <c r="O280" s="96" t="str">
        <f aca="false">CO_ORDINATES(N280)</f>
        <v>55.8701511,26.5604589</v>
      </c>
      <c r="Q280" s="91" t="n">
        <v>1</v>
      </c>
    </row>
    <row r="281" s="91" customFormat="true" ht="12.75" hidden="false" customHeight="false" outlineLevel="0" collapsed="false">
      <c r="A281" s="91" t="s">
        <v>718</v>
      </c>
      <c r="B281" s="91" t="s">
        <v>1250</v>
      </c>
      <c r="C281" s="91" t="s">
        <v>748</v>
      </c>
      <c r="D281" s="91" t="s">
        <v>749</v>
      </c>
      <c r="E281" s="91" t="s">
        <v>354</v>
      </c>
      <c r="F281" s="91" t="n">
        <v>2014</v>
      </c>
      <c r="G281" s="91" t="n">
        <v>18000</v>
      </c>
      <c r="H281" s="91" t="n">
        <v>8595</v>
      </c>
      <c r="I281" s="91" t="s">
        <v>722</v>
      </c>
      <c r="J281" s="95" t="n">
        <v>45037</v>
      </c>
      <c r="K281" s="91" t="s">
        <v>423</v>
      </c>
      <c r="M281" s="91" t="s">
        <v>1235</v>
      </c>
      <c r="N281" s="91" t="s">
        <v>425</v>
      </c>
      <c r="O281" s="96" t="str">
        <f aca="false">CO_ORDINATES(N281)</f>
        <v>55.8701511,26.5604589</v>
      </c>
      <c r="Q281" s="91" t="n">
        <v>1</v>
      </c>
    </row>
    <row r="282" customFormat="false" ht="12.75" hidden="false" customHeight="false" outlineLevel="0" collapsed="false">
      <c r="A282" s="91" t="s">
        <v>718</v>
      </c>
      <c r="B282" s="91" t="s">
        <v>1251</v>
      </c>
      <c r="C282" s="91" t="s">
        <v>727</v>
      </c>
      <c r="D282" s="91" t="s">
        <v>1052</v>
      </c>
      <c r="E282" s="91" t="s">
        <v>360</v>
      </c>
      <c r="F282" s="91" t="n">
        <v>2018</v>
      </c>
      <c r="G282" s="91" t="n">
        <v>18000</v>
      </c>
      <c r="H282" s="91" t="n">
        <v>8899</v>
      </c>
      <c r="I282" s="91" t="s">
        <v>722</v>
      </c>
      <c r="J282" s="95" t="n">
        <v>44719</v>
      </c>
      <c r="K282" s="91" t="s">
        <v>423</v>
      </c>
      <c r="L282" s="91" t="s">
        <v>1252</v>
      </c>
      <c r="M282" s="91" t="s">
        <v>1235</v>
      </c>
      <c r="N282" s="91" t="s">
        <v>425</v>
      </c>
      <c r="O282" s="96" t="str">
        <f aca="false">CO_ORDINATES(N282)</f>
        <v>55.8701511,26.5604589</v>
      </c>
      <c r="Q282" s="91" t="n">
        <v>1</v>
      </c>
    </row>
    <row r="283" s="91" customFormat="true" ht="12.75" hidden="false" customHeight="false" outlineLevel="0" collapsed="false">
      <c r="A283" s="91" t="s">
        <v>718</v>
      </c>
      <c r="B283" s="91" t="s">
        <v>1253</v>
      </c>
      <c r="C283" s="91" t="s">
        <v>731</v>
      </c>
      <c r="D283" s="91" t="s">
        <v>732</v>
      </c>
      <c r="E283" s="91" t="s">
        <v>200</v>
      </c>
      <c r="F283" s="91" t="n">
        <v>2014</v>
      </c>
      <c r="G283" s="91" t="n">
        <v>20500</v>
      </c>
      <c r="H283" s="91" t="n">
        <v>8519</v>
      </c>
      <c r="I283" s="91" t="s">
        <v>722</v>
      </c>
      <c r="J283" s="95" t="n">
        <v>44742</v>
      </c>
      <c r="K283" s="91" t="s">
        <v>426</v>
      </c>
      <c r="M283" s="91" t="s">
        <v>1254</v>
      </c>
      <c r="N283" s="91" t="s">
        <v>428</v>
      </c>
      <c r="O283" s="96" t="str">
        <f aca="false">CO_ORDINATES(N283)</f>
        <v>55.881539149999995,26.516980762916358</v>
      </c>
      <c r="Q283" s="91" t="n">
        <v>1</v>
      </c>
    </row>
    <row r="284" s="91" customFormat="true" ht="12.75" hidden="false" customHeight="false" outlineLevel="0" collapsed="false">
      <c r="A284" s="91" t="s">
        <v>718</v>
      </c>
      <c r="B284" s="91" t="s">
        <v>1255</v>
      </c>
      <c r="C284" s="91" t="s">
        <v>731</v>
      </c>
      <c r="D284" s="91" t="s">
        <v>732</v>
      </c>
      <c r="E284" s="91" t="s">
        <v>200</v>
      </c>
      <c r="F284" s="91" t="n">
        <v>2013</v>
      </c>
      <c r="G284" s="91" t="n">
        <v>18000</v>
      </c>
      <c r="H284" s="91" t="n">
        <v>8743</v>
      </c>
      <c r="I284" s="91" t="s">
        <v>722</v>
      </c>
      <c r="J284" s="95" t="n">
        <v>44852</v>
      </c>
      <c r="K284" s="91" t="s">
        <v>426</v>
      </c>
      <c r="M284" s="91" t="s">
        <v>1254</v>
      </c>
      <c r="N284" s="91" t="s">
        <v>428</v>
      </c>
      <c r="O284" s="96" t="str">
        <f aca="false">CO_ORDINATES(N284)</f>
        <v>55.881539149999995,26.516980762916358</v>
      </c>
      <c r="Q284" s="91" t="n">
        <v>1</v>
      </c>
    </row>
    <row r="285" customFormat="false" ht="12.75" hidden="false" customHeight="false" outlineLevel="0" collapsed="false">
      <c r="A285" s="91" t="s">
        <v>718</v>
      </c>
      <c r="B285" s="91" t="s">
        <v>1256</v>
      </c>
      <c r="C285" s="91" t="s">
        <v>731</v>
      </c>
      <c r="D285" s="91" t="s">
        <v>732</v>
      </c>
      <c r="E285" s="91" t="s">
        <v>200</v>
      </c>
      <c r="F285" s="91" t="n">
        <v>2022</v>
      </c>
      <c r="G285" s="91" t="n">
        <v>18000</v>
      </c>
      <c r="H285" s="91" t="n">
        <v>8636</v>
      </c>
      <c r="I285" s="91" t="s">
        <v>722</v>
      </c>
      <c r="J285" s="95" t="n">
        <v>45044</v>
      </c>
      <c r="K285" s="91" t="s">
        <v>426</v>
      </c>
      <c r="L285" s="91" t="s">
        <v>1257</v>
      </c>
      <c r="M285" s="91" t="s">
        <v>1254</v>
      </c>
      <c r="N285" s="91" t="s">
        <v>428</v>
      </c>
      <c r="O285" s="96" t="str">
        <f aca="false">CO_ORDINATES(N285)</f>
        <v>55.881539149999995,26.516980762916358</v>
      </c>
      <c r="Q285" s="91" t="n">
        <v>1</v>
      </c>
    </row>
    <row r="286" customFormat="false" ht="12.75" hidden="false" customHeight="false" outlineLevel="0" collapsed="false">
      <c r="A286" s="91" t="s">
        <v>718</v>
      </c>
      <c r="B286" s="91" t="s">
        <v>1258</v>
      </c>
      <c r="C286" s="91" t="s">
        <v>727</v>
      </c>
      <c r="D286" s="91" t="s">
        <v>1259</v>
      </c>
      <c r="E286" s="91" t="s">
        <v>430</v>
      </c>
      <c r="F286" s="91" t="n">
        <v>2017</v>
      </c>
      <c r="G286" s="91" t="n">
        <v>18000</v>
      </c>
      <c r="H286" s="91" t="n">
        <v>8500</v>
      </c>
      <c r="I286" s="91" t="s">
        <v>722</v>
      </c>
      <c r="J286" s="95" t="n">
        <v>44812</v>
      </c>
      <c r="K286" s="91" t="s">
        <v>429</v>
      </c>
      <c r="L286" s="91" t="s">
        <v>430</v>
      </c>
      <c r="M286" s="91" t="s">
        <v>1260</v>
      </c>
      <c r="N286" s="91" t="s">
        <v>431</v>
      </c>
      <c r="O286" s="96" t="str">
        <f aca="false">CO_ORDINATES(N286)</f>
        <v>55.9029381,26.64867455</v>
      </c>
      <c r="Q286" s="91" t="n">
        <v>1</v>
      </c>
    </row>
    <row r="287" customFormat="false" ht="12.75" hidden="false" customHeight="false" outlineLevel="0" collapsed="false">
      <c r="A287" s="91" t="s">
        <v>718</v>
      </c>
      <c r="B287" s="91" t="s">
        <v>1261</v>
      </c>
      <c r="C287" s="91" t="s">
        <v>771</v>
      </c>
      <c r="D287" s="91" t="s">
        <v>1262</v>
      </c>
      <c r="E287" s="91" t="s">
        <v>433</v>
      </c>
      <c r="F287" s="91" t="n">
        <v>2007</v>
      </c>
      <c r="G287" s="91" t="n">
        <v>18000</v>
      </c>
      <c r="H287" s="91" t="n">
        <v>8175</v>
      </c>
      <c r="I287" s="91" t="s">
        <v>722</v>
      </c>
      <c r="J287" s="95" t="n">
        <v>44732</v>
      </c>
      <c r="K287" s="91" t="s">
        <v>432</v>
      </c>
      <c r="L287" s="91" t="s">
        <v>433</v>
      </c>
      <c r="M287" s="91" t="s">
        <v>1263</v>
      </c>
      <c r="N287" s="91" t="s">
        <v>434</v>
      </c>
      <c r="O287" s="96" t="str">
        <f aca="false">CO_ORDINATES(N287)</f>
        <v>55.8672285,26.6023617</v>
      </c>
      <c r="Q287" s="91" t="n">
        <v>1</v>
      </c>
    </row>
    <row r="288" customFormat="false" ht="12.75" hidden="false" customHeight="false" outlineLevel="0" collapsed="false">
      <c r="A288" s="97" t="s">
        <v>718</v>
      </c>
      <c r="B288" s="97" t="s">
        <v>1264</v>
      </c>
      <c r="C288" s="97" t="s">
        <v>727</v>
      </c>
      <c r="D288" s="97" t="s">
        <v>806</v>
      </c>
      <c r="E288" s="97" t="s">
        <v>436</v>
      </c>
      <c r="F288" s="97" t="n">
        <v>2008</v>
      </c>
      <c r="G288" s="97" t="n">
        <v>26000</v>
      </c>
      <c r="H288" s="97" t="n">
        <v>9300</v>
      </c>
      <c r="I288" s="97" t="s">
        <v>722</v>
      </c>
      <c r="J288" s="99" t="n">
        <v>44687</v>
      </c>
      <c r="K288" s="97" t="s">
        <v>435</v>
      </c>
      <c r="L288" s="97" t="s">
        <v>436</v>
      </c>
      <c r="M288" s="97" t="s">
        <v>1265</v>
      </c>
      <c r="N288" s="97" t="s">
        <v>437</v>
      </c>
      <c r="O288" s="98" t="e">
        <f aca="false">CO_ORDINATES(N288)</f>
        <v>#VALUE!</v>
      </c>
      <c r="P288" s="97"/>
      <c r="Q288" s="97" t="n">
        <v>1</v>
      </c>
    </row>
    <row r="289" s="91" customFormat="true" ht="12.75" hidden="false" customHeight="false" outlineLevel="0" collapsed="false">
      <c r="A289" s="91" t="s">
        <v>718</v>
      </c>
      <c r="B289" s="91" t="s">
        <v>1266</v>
      </c>
      <c r="C289" s="91" t="s">
        <v>727</v>
      </c>
      <c r="D289" s="91" t="s">
        <v>920</v>
      </c>
      <c r="E289" s="91" t="s">
        <v>298</v>
      </c>
      <c r="F289" s="91" t="n">
        <v>2010</v>
      </c>
      <c r="G289" s="91" t="n">
        <v>19000</v>
      </c>
      <c r="H289" s="91" t="n">
        <v>8450</v>
      </c>
      <c r="I289" s="91" t="s">
        <v>722</v>
      </c>
      <c r="J289" s="95" t="n">
        <v>44769</v>
      </c>
      <c r="K289" s="91" t="s">
        <v>438</v>
      </c>
      <c r="M289" s="91" t="s">
        <v>1267</v>
      </c>
      <c r="N289" s="91" t="s">
        <v>440</v>
      </c>
      <c r="O289" s="96" t="str">
        <f aca="false">CO_ORDINATES(N289)</f>
        <v>55.866058100000004,26.52671347836595</v>
      </c>
      <c r="Q289" s="91" t="n">
        <v>1</v>
      </c>
    </row>
    <row r="290" s="91" customFormat="true" ht="12.75" hidden="false" customHeight="false" outlineLevel="0" collapsed="false">
      <c r="A290" s="91" t="s">
        <v>718</v>
      </c>
      <c r="B290" s="91" t="s">
        <v>1268</v>
      </c>
      <c r="C290" s="91" t="s">
        <v>727</v>
      </c>
      <c r="D290" s="91" t="s">
        <v>786</v>
      </c>
      <c r="E290" s="91" t="s">
        <v>264</v>
      </c>
      <c r="F290" s="91" t="n">
        <v>2011</v>
      </c>
      <c r="G290" s="91" t="n">
        <v>18600</v>
      </c>
      <c r="H290" s="91" t="n">
        <v>8380</v>
      </c>
      <c r="I290" s="91" t="s">
        <v>722</v>
      </c>
      <c r="J290" s="95" t="n">
        <v>44743</v>
      </c>
      <c r="K290" s="91" t="s">
        <v>438</v>
      </c>
      <c r="M290" s="91" t="s">
        <v>1267</v>
      </c>
      <c r="N290" s="91" t="s">
        <v>440</v>
      </c>
      <c r="O290" s="96" t="str">
        <f aca="false">CO_ORDINATES(N290)</f>
        <v>55.866058100000004,26.52671347836595</v>
      </c>
      <c r="Q290" s="91" t="n">
        <v>1</v>
      </c>
    </row>
    <row r="291" s="91" customFormat="true" ht="12.75" hidden="false" customHeight="false" outlineLevel="0" collapsed="false">
      <c r="A291" s="91" t="s">
        <v>718</v>
      </c>
      <c r="B291" s="91" t="s">
        <v>1269</v>
      </c>
      <c r="C291" s="91" t="s">
        <v>727</v>
      </c>
      <c r="D291" s="91" t="s">
        <v>786</v>
      </c>
      <c r="E291" s="91" t="s">
        <v>264</v>
      </c>
      <c r="F291" s="91" t="n">
        <v>2011</v>
      </c>
      <c r="G291" s="91" t="n">
        <v>18600</v>
      </c>
      <c r="H291" s="91" t="n">
        <v>8560</v>
      </c>
      <c r="I291" s="91" t="s">
        <v>722</v>
      </c>
      <c r="J291" s="95" t="n">
        <v>45054</v>
      </c>
      <c r="K291" s="91" t="s">
        <v>438</v>
      </c>
      <c r="M291" s="91" t="s">
        <v>1267</v>
      </c>
      <c r="N291" s="91" t="s">
        <v>440</v>
      </c>
      <c r="O291" s="96" t="str">
        <f aca="false">CO_ORDINATES(N291)</f>
        <v>55.866058100000004,26.52671347836595</v>
      </c>
      <c r="Q291" s="91" t="n">
        <v>1</v>
      </c>
    </row>
    <row r="292" s="91" customFormat="true" ht="12.75" hidden="false" customHeight="false" outlineLevel="0" collapsed="false">
      <c r="A292" s="91" t="s">
        <v>718</v>
      </c>
      <c r="B292" s="91" t="s">
        <v>1270</v>
      </c>
      <c r="C292" s="91" t="s">
        <v>727</v>
      </c>
      <c r="D292" s="91" t="s">
        <v>786</v>
      </c>
      <c r="E292" s="91" t="s">
        <v>264</v>
      </c>
      <c r="F292" s="91" t="n">
        <v>2011</v>
      </c>
      <c r="G292" s="91" t="n">
        <v>18600</v>
      </c>
      <c r="H292" s="91" t="n">
        <v>8550</v>
      </c>
      <c r="I292" s="91" t="s">
        <v>722</v>
      </c>
      <c r="J292" s="95" t="n">
        <v>45070</v>
      </c>
      <c r="K292" s="91" t="s">
        <v>438</v>
      </c>
      <c r="M292" s="91" t="s">
        <v>1267</v>
      </c>
      <c r="N292" s="91" t="s">
        <v>440</v>
      </c>
      <c r="O292" s="96" t="str">
        <f aca="false">CO_ORDINATES(N292)</f>
        <v>55.866058100000004,26.52671347836595</v>
      </c>
      <c r="Q292" s="91" t="n">
        <v>1</v>
      </c>
    </row>
    <row r="293" s="91" customFormat="true" ht="12.75" hidden="false" customHeight="false" outlineLevel="0" collapsed="false">
      <c r="A293" s="91" t="s">
        <v>718</v>
      </c>
      <c r="B293" s="91" t="s">
        <v>1271</v>
      </c>
      <c r="C293" s="91" t="s">
        <v>748</v>
      </c>
      <c r="D293" s="91" t="s">
        <v>749</v>
      </c>
      <c r="E293" s="91" t="s">
        <v>354</v>
      </c>
      <c r="F293" s="91" t="n">
        <v>2013</v>
      </c>
      <c r="G293" s="91" t="n">
        <v>18000</v>
      </c>
      <c r="H293" s="91" t="n">
        <v>8567</v>
      </c>
      <c r="I293" s="91" t="s">
        <v>722</v>
      </c>
      <c r="J293" s="95" t="n">
        <v>44860</v>
      </c>
      <c r="K293" s="91" t="s">
        <v>438</v>
      </c>
      <c r="M293" s="91" t="s">
        <v>1267</v>
      </c>
      <c r="N293" s="91" t="s">
        <v>440</v>
      </c>
      <c r="O293" s="96" t="str">
        <f aca="false">CO_ORDINATES(N293)</f>
        <v>55.866058100000004,26.52671347836595</v>
      </c>
      <c r="Q293" s="91" t="n">
        <v>1</v>
      </c>
    </row>
    <row r="294" s="91" customFormat="true" ht="12.75" hidden="false" customHeight="false" outlineLevel="0" collapsed="false">
      <c r="A294" s="91" t="s">
        <v>718</v>
      </c>
      <c r="B294" s="91" t="s">
        <v>1272</v>
      </c>
      <c r="C294" s="91" t="s">
        <v>748</v>
      </c>
      <c r="D294" s="91" t="s">
        <v>749</v>
      </c>
      <c r="E294" s="91" t="s">
        <v>354</v>
      </c>
      <c r="F294" s="91" t="n">
        <v>2014</v>
      </c>
      <c r="G294" s="91" t="n">
        <v>18000</v>
      </c>
      <c r="H294" s="91" t="n">
        <v>8431</v>
      </c>
      <c r="I294" s="91" t="s">
        <v>722</v>
      </c>
      <c r="J294" s="95" t="n">
        <v>44861</v>
      </c>
      <c r="K294" s="91" t="s">
        <v>438</v>
      </c>
      <c r="M294" s="91" t="s">
        <v>1267</v>
      </c>
      <c r="N294" s="91" t="s">
        <v>440</v>
      </c>
      <c r="O294" s="96" t="str">
        <f aca="false">CO_ORDINATES(N294)</f>
        <v>55.866058100000004,26.52671347836595</v>
      </c>
      <c r="Q294" s="91" t="n">
        <v>1</v>
      </c>
    </row>
    <row r="295" customFormat="false" ht="12.75" hidden="false" customHeight="false" outlineLevel="0" collapsed="false">
      <c r="A295" s="91" t="s">
        <v>718</v>
      </c>
      <c r="B295" s="91" t="s">
        <v>1273</v>
      </c>
      <c r="C295" s="91" t="s">
        <v>748</v>
      </c>
      <c r="D295" s="91" t="s">
        <v>824</v>
      </c>
      <c r="E295" s="91" t="s">
        <v>825</v>
      </c>
      <c r="F295" s="91" t="n">
        <v>2012</v>
      </c>
      <c r="G295" s="91" t="n">
        <v>18000</v>
      </c>
      <c r="H295" s="91" t="n">
        <v>8400</v>
      </c>
      <c r="I295" s="91" t="s">
        <v>745</v>
      </c>
      <c r="J295" s="95" t="n">
        <v>44811</v>
      </c>
      <c r="K295" s="91" t="s">
        <v>438</v>
      </c>
      <c r="L295" s="91" t="s">
        <v>1274</v>
      </c>
      <c r="M295" s="91" t="s">
        <v>1267</v>
      </c>
      <c r="N295" s="91" t="s">
        <v>440</v>
      </c>
      <c r="O295" s="96" t="str">
        <f aca="false">CO_ORDINATES(N295)</f>
        <v>55.866058100000004,26.52671347836595</v>
      </c>
      <c r="Q295" s="91" t="n">
        <v>1</v>
      </c>
    </row>
    <row r="296" s="91" customFormat="true" ht="12.75" hidden="false" customHeight="false" outlineLevel="0" collapsed="false">
      <c r="A296" s="91" t="s">
        <v>718</v>
      </c>
      <c r="B296" s="91" t="s">
        <v>1275</v>
      </c>
      <c r="C296" s="91" t="s">
        <v>933</v>
      </c>
      <c r="D296" s="91" t="s">
        <v>1276</v>
      </c>
      <c r="E296" s="91" t="s">
        <v>1277</v>
      </c>
      <c r="F296" s="91" t="n">
        <v>2013</v>
      </c>
      <c r="G296" s="91" t="n">
        <v>20000</v>
      </c>
      <c r="H296" s="91" t="n">
        <v>7956</v>
      </c>
      <c r="I296" s="91" t="s">
        <v>722</v>
      </c>
      <c r="J296" s="95" t="n">
        <v>45064</v>
      </c>
      <c r="K296" s="91" t="s">
        <v>441</v>
      </c>
      <c r="M296" s="91" t="s">
        <v>1278</v>
      </c>
      <c r="N296" s="91" t="s">
        <v>443</v>
      </c>
      <c r="O296" s="96" t="str">
        <f aca="false">CO_ORDINATES(N296)</f>
        <v>55.892775,26.543211600490558</v>
      </c>
      <c r="Q296" s="91" t="n">
        <v>1</v>
      </c>
    </row>
    <row r="297" s="91" customFormat="true" ht="12.75" hidden="false" customHeight="false" outlineLevel="0" collapsed="false">
      <c r="A297" s="91" t="s">
        <v>718</v>
      </c>
      <c r="B297" s="91" t="s">
        <v>1279</v>
      </c>
      <c r="C297" s="91" t="s">
        <v>933</v>
      </c>
      <c r="D297" s="91" t="s">
        <v>960</v>
      </c>
      <c r="E297" s="91" t="s">
        <v>961</v>
      </c>
      <c r="F297" s="91" t="n">
        <v>2006</v>
      </c>
      <c r="G297" s="91" t="n">
        <v>19000</v>
      </c>
      <c r="H297" s="91" t="n">
        <v>6870</v>
      </c>
      <c r="I297" s="91" t="s">
        <v>722</v>
      </c>
      <c r="J297" s="95" t="n">
        <v>44859</v>
      </c>
      <c r="K297" s="91" t="s">
        <v>441</v>
      </c>
      <c r="M297" s="91" t="s">
        <v>1278</v>
      </c>
      <c r="N297" s="91" t="s">
        <v>443</v>
      </c>
      <c r="O297" s="96" t="str">
        <f aca="false">CO_ORDINATES(N297)</f>
        <v>55.892775,26.543211600490558</v>
      </c>
      <c r="Q297" s="91" t="n">
        <v>1</v>
      </c>
    </row>
    <row r="298" customFormat="false" ht="12.75" hidden="false" customHeight="false" outlineLevel="0" collapsed="false">
      <c r="A298" s="91" t="s">
        <v>718</v>
      </c>
      <c r="B298" s="91" t="s">
        <v>1280</v>
      </c>
      <c r="C298" s="91" t="s">
        <v>727</v>
      </c>
      <c r="D298" s="91" t="s">
        <v>786</v>
      </c>
      <c r="E298" s="91" t="s">
        <v>264</v>
      </c>
      <c r="F298" s="91" t="n">
        <v>2011</v>
      </c>
      <c r="G298" s="91" t="n">
        <v>18000</v>
      </c>
      <c r="H298" s="91" t="n">
        <v>7940</v>
      </c>
      <c r="I298" s="91" t="s">
        <v>722</v>
      </c>
      <c r="J298" s="95" t="n">
        <v>45068</v>
      </c>
      <c r="K298" s="91" t="s">
        <v>441</v>
      </c>
      <c r="L298" s="91" t="s">
        <v>442</v>
      </c>
      <c r="M298" s="91" t="s">
        <v>1278</v>
      </c>
      <c r="N298" s="91" t="s">
        <v>443</v>
      </c>
      <c r="O298" s="96" t="str">
        <f aca="false">CO_ORDINATES(N298)</f>
        <v>55.892775,26.543211600490558</v>
      </c>
      <c r="Q298" s="91" t="n">
        <v>1</v>
      </c>
    </row>
    <row r="299" s="91" customFormat="true" ht="12.75" hidden="false" customHeight="false" outlineLevel="0" collapsed="false">
      <c r="A299" s="91" t="s">
        <v>718</v>
      </c>
      <c r="B299" s="91" t="s">
        <v>1281</v>
      </c>
      <c r="C299" s="91" t="s">
        <v>720</v>
      </c>
      <c r="D299" s="91" t="s">
        <v>738</v>
      </c>
      <c r="E299" s="91" t="s">
        <v>206</v>
      </c>
      <c r="F299" s="91" t="n">
        <v>2010</v>
      </c>
      <c r="G299" s="91" t="n">
        <v>19000</v>
      </c>
      <c r="H299" s="91" t="n">
        <v>7291</v>
      </c>
      <c r="I299" s="91" t="s">
        <v>722</v>
      </c>
      <c r="J299" s="95" t="n">
        <v>45063</v>
      </c>
      <c r="K299" s="91" t="s">
        <v>444</v>
      </c>
      <c r="M299" s="91" t="s">
        <v>1282</v>
      </c>
      <c r="N299" s="91" t="s">
        <v>446</v>
      </c>
      <c r="O299" s="96" t="str">
        <f aca="false">CO_ORDINATES(N299)</f>
        <v>55.908566,26.4512691</v>
      </c>
      <c r="Q299" s="91" t="n">
        <v>1</v>
      </c>
    </row>
    <row r="300" s="91" customFormat="true" ht="12.75" hidden="false" customHeight="false" outlineLevel="0" collapsed="false">
      <c r="A300" s="91" t="s">
        <v>718</v>
      </c>
      <c r="B300" s="91" t="s">
        <v>1283</v>
      </c>
      <c r="C300" s="91" t="s">
        <v>771</v>
      </c>
      <c r="D300" s="91" t="s">
        <v>995</v>
      </c>
      <c r="E300" s="91" t="s">
        <v>333</v>
      </c>
      <c r="F300" s="91" t="n">
        <v>2005</v>
      </c>
      <c r="G300" s="91" t="n">
        <v>18000</v>
      </c>
      <c r="H300" s="91" t="n">
        <v>8000</v>
      </c>
      <c r="I300" s="91" t="s">
        <v>722</v>
      </c>
      <c r="J300" s="95" t="n">
        <v>44825</v>
      </c>
      <c r="K300" s="91" t="s">
        <v>444</v>
      </c>
      <c r="M300" s="91" t="s">
        <v>1282</v>
      </c>
      <c r="N300" s="91" t="s">
        <v>446</v>
      </c>
      <c r="O300" s="96" t="str">
        <f aca="false">CO_ORDINATES(N300)</f>
        <v>55.908566,26.4512691</v>
      </c>
      <c r="Q300" s="91" t="n">
        <v>1</v>
      </c>
    </row>
    <row r="301" customFormat="false" ht="12.75" hidden="false" customHeight="false" outlineLevel="0" collapsed="false">
      <c r="A301" s="91" t="s">
        <v>718</v>
      </c>
      <c r="B301" s="91" t="s">
        <v>1284</v>
      </c>
      <c r="C301" s="91" t="s">
        <v>771</v>
      </c>
      <c r="D301" s="91" t="s">
        <v>938</v>
      </c>
      <c r="E301" s="91" t="s">
        <v>524</v>
      </c>
      <c r="F301" s="91" t="n">
        <v>2006</v>
      </c>
      <c r="G301" s="91" t="n">
        <v>18000</v>
      </c>
      <c r="H301" s="91" t="n">
        <v>7020</v>
      </c>
      <c r="I301" s="91" t="s">
        <v>722</v>
      </c>
      <c r="J301" s="95" t="n">
        <v>44866</v>
      </c>
      <c r="K301" s="91" t="s">
        <v>444</v>
      </c>
      <c r="L301" s="91" t="s">
        <v>445</v>
      </c>
      <c r="M301" s="91" t="s">
        <v>1282</v>
      </c>
      <c r="N301" s="91" t="s">
        <v>446</v>
      </c>
      <c r="O301" s="96" t="str">
        <f aca="false">CO_ORDINATES(N301)</f>
        <v>55.908566,26.4512691</v>
      </c>
      <c r="Q301" s="91" t="n">
        <v>1</v>
      </c>
    </row>
    <row r="302" s="91" customFormat="true" ht="12.75" hidden="false" customHeight="false" outlineLevel="0" collapsed="false">
      <c r="A302" s="91" t="s">
        <v>718</v>
      </c>
      <c r="B302" s="91" t="s">
        <v>1285</v>
      </c>
      <c r="C302" s="91" t="s">
        <v>720</v>
      </c>
      <c r="D302" s="91" t="s">
        <v>721</v>
      </c>
      <c r="E302" s="91" t="s">
        <v>351</v>
      </c>
      <c r="F302" s="91" t="n">
        <v>2009</v>
      </c>
      <c r="G302" s="91" t="n">
        <v>19000</v>
      </c>
      <c r="H302" s="91" t="n">
        <v>8170</v>
      </c>
      <c r="I302" s="91" t="s">
        <v>722</v>
      </c>
      <c r="J302" s="95" t="n">
        <v>44965</v>
      </c>
      <c r="K302" s="91" t="s">
        <v>447</v>
      </c>
      <c r="M302" s="91" t="s">
        <v>1286</v>
      </c>
      <c r="N302" s="91" t="s">
        <v>251</v>
      </c>
      <c r="O302" s="96" t="str">
        <f aca="false">CO_ORDINATES(N302)</f>
        <v>55.8973548,26.561578902688808</v>
      </c>
      <c r="Q302" s="91" t="n">
        <v>1</v>
      </c>
    </row>
    <row r="303" customFormat="false" ht="12.75" hidden="false" customHeight="false" outlineLevel="0" collapsed="false">
      <c r="A303" s="91" t="s">
        <v>718</v>
      </c>
      <c r="B303" s="91" t="s">
        <v>1287</v>
      </c>
      <c r="C303" s="91" t="s">
        <v>720</v>
      </c>
      <c r="D303" s="91" t="s">
        <v>721</v>
      </c>
      <c r="E303" s="91" t="s">
        <v>351</v>
      </c>
      <c r="F303" s="91" t="n">
        <v>2010</v>
      </c>
      <c r="G303" s="91" t="n">
        <v>18000</v>
      </c>
      <c r="H303" s="91" t="n">
        <v>8310</v>
      </c>
      <c r="I303" s="91" t="s">
        <v>722</v>
      </c>
      <c r="J303" s="95" t="n">
        <v>44979</v>
      </c>
      <c r="K303" s="91" t="s">
        <v>447</v>
      </c>
      <c r="L303" s="91" t="s">
        <v>214</v>
      </c>
      <c r="M303" s="91" t="s">
        <v>1286</v>
      </c>
      <c r="N303" s="91" t="s">
        <v>251</v>
      </c>
      <c r="O303" s="96" t="str">
        <f aca="false">CO_ORDINATES(N303)</f>
        <v>55.8973548,26.561578902688808</v>
      </c>
      <c r="Q303" s="91" t="n">
        <v>1</v>
      </c>
    </row>
    <row r="304" s="91" customFormat="true" ht="12.75" hidden="false" customHeight="false" outlineLevel="0" collapsed="false">
      <c r="A304" s="91" t="s">
        <v>718</v>
      </c>
      <c r="B304" s="91" t="s">
        <v>1288</v>
      </c>
      <c r="C304" s="91" t="s">
        <v>968</v>
      </c>
      <c r="D304" s="91" t="s">
        <v>1289</v>
      </c>
      <c r="E304" s="91" t="s">
        <v>1290</v>
      </c>
      <c r="F304" s="91" t="n">
        <v>2014</v>
      </c>
      <c r="G304" s="91" t="n">
        <v>21000</v>
      </c>
      <c r="H304" s="91" t="n">
        <v>8355</v>
      </c>
      <c r="I304" s="91" t="s">
        <v>722</v>
      </c>
      <c r="J304" s="95" t="n">
        <v>45040</v>
      </c>
      <c r="K304" s="91" t="s">
        <v>448</v>
      </c>
      <c r="M304" s="91" t="s">
        <v>1291</v>
      </c>
      <c r="N304" s="91" t="s">
        <v>1292</v>
      </c>
      <c r="O304" s="96" t="str">
        <f aca="false">CO_ORDINATES(N304)</f>
        <v>55.883236600000004,26.560827813738026</v>
      </c>
      <c r="Q304" s="91" t="n">
        <v>1</v>
      </c>
    </row>
    <row r="305" s="91" customFormat="true" ht="12.75" hidden="false" customHeight="false" outlineLevel="0" collapsed="false">
      <c r="A305" s="91" t="s">
        <v>718</v>
      </c>
      <c r="B305" s="91" t="s">
        <v>1293</v>
      </c>
      <c r="C305" s="91" t="s">
        <v>720</v>
      </c>
      <c r="D305" s="91" t="s">
        <v>721</v>
      </c>
      <c r="E305" s="91" t="s">
        <v>351</v>
      </c>
      <c r="F305" s="91" t="n">
        <v>2007</v>
      </c>
      <c r="G305" s="91" t="n">
        <v>20500</v>
      </c>
      <c r="H305" s="91" t="n">
        <v>7800</v>
      </c>
      <c r="I305" s="91" t="s">
        <v>722</v>
      </c>
      <c r="J305" s="95" t="n">
        <v>44931</v>
      </c>
      <c r="K305" s="91" t="s">
        <v>448</v>
      </c>
      <c r="M305" s="91" t="s">
        <v>1291</v>
      </c>
      <c r="N305" s="91" t="s">
        <v>1292</v>
      </c>
      <c r="O305" s="96" t="str">
        <f aca="false">CO_ORDINATES(N305)</f>
        <v>55.883236600000004,26.560827813738026</v>
      </c>
      <c r="Q305" s="91" t="n">
        <v>1</v>
      </c>
    </row>
    <row r="306" s="91" customFormat="true" ht="12.75" hidden="false" customHeight="false" outlineLevel="0" collapsed="false">
      <c r="A306" s="91" t="s">
        <v>718</v>
      </c>
      <c r="B306" s="91" t="s">
        <v>1294</v>
      </c>
      <c r="C306" s="91" t="s">
        <v>720</v>
      </c>
      <c r="D306" s="91" t="s">
        <v>801</v>
      </c>
      <c r="E306" s="91" t="s">
        <v>348</v>
      </c>
      <c r="F306" s="91" t="n">
        <v>2013</v>
      </c>
      <c r="G306" s="91" t="n">
        <v>19000</v>
      </c>
      <c r="H306" s="91" t="n">
        <v>8358</v>
      </c>
      <c r="I306" s="91" t="s">
        <v>722</v>
      </c>
      <c r="J306" s="95" t="n">
        <v>44804</v>
      </c>
      <c r="K306" s="91" t="s">
        <v>448</v>
      </c>
      <c r="M306" s="91" t="s">
        <v>1291</v>
      </c>
      <c r="N306" s="91" t="s">
        <v>1292</v>
      </c>
      <c r="O306" s="96" t="str">
        <f aca="false">CO_ORDINATES(N306)</f>
        <v>55.883236600000004,26.560827813738026</v>
      </c>
      <c r="Q306" s="91" t="n">
        <v>1</v>
      </c>
    </row>
    <row r="307" s="91" customFormat="true" ht="12.75" hidden="false" customHeight="false" outlineLevel="0" collapsed="false">
      <c r="A307" s="91" t="s">
        <v>718</v>
      </c>
      <c r="B307" s="91" t="s">
        <v>1295</v>
      </c>
      <c r="C307" s="91" t="s">
        <v>720</v>
      </c>
      <c r="D307" s="91" t="s">
        <v>725</v>
      </c>
      <c r="E307" s="91" t="s">
        <v>281</v>
      </c>
      <c r="F307" s="91" t="n">
        <v>2014</v>
      </c>
      <c r="G307" s="91" t="n">
        <v>18000</v>
      </c>
      <c r="H307" s="91" t="n">
        <v>8725</v>
      </c>
      <c r="I307" s="91" t="s">
        <v>722</v>
      </c>
      <c r="J307" s="95" t="n">
        <v>44902</v>
      </c>
      <c r="K307" s="91" t="s">
        <v>448</v>
      </c>
      <c r="M307" s="91" t="s">
        <v>1291</v>
      </c>
      <c r="N307" s="91" t="s">
        <v>1292</v>
      </c>
      <c r="O307" s="96" t="str">
        <f aca="false">CO_ORDINATES(N307)</f>
        <v>55.883236600000004,26.560827813738026</v>
      </c>
      <c r="Q307" s="91" t="n">
        <v>1</v>
      </c>
    </row>
    <row r="308" customFormat="false" ht="12.75" hidden="false" customHeight="false" outlineLevel="0" collapsed="false">
      <c r="A308" s="91" t="s">
        <v>718</v>
      </c>
      <c r="B308" s="91" t="s">
        <v>1296</v>
      </c>
      <c r="C308" s="91" t="s">
        <v>727</v>
      </c>
      <c r="D308" s="91" t="s">
        <v>743</v>
      </c>
      <c r="E308" s="91" t="s">
        <v>744</v>
      </c>
      <c r="F308" s="91" t="n">
        <v>2002</v>
      </c>
      <c r="G308" s="91" t="n">
        <v>18000</v>
      </c>
      <c r="H308" s="91" t="n">
        <v>7600</v>
      </c>
      <c r="I308" s="91" t="s">
        <v>868</v>
      </c>
      <c r="J308" s="95" t="n">
        <v>44838</v>
      </c>
      <c r="K308" s="91" t="s">
        <v>448</v>
      </c>
      <c r="L308" s="91" t="s">
        <v>449</v>
      </c>
      <c r="M308" s="91" t="s">
        <v>1291</v>
      </c>
      <c r="N308" s="91" t="s">
        <v>1292</v>
      </c>
      <c r="O308" s="96" t="str">
        <f aca="false">CO_ORDINATES(N308)</f>
        <v>55.883236600000004,26.560827813738026</v>
      </c>
      <c r="Q308" s="91" t="n">
        <v>1</v>
      </c>
    </row>
    <row r="309" s="91" customFormat="true" ht="12.75" hidden="false" customHeight="false" outlineLevel="0" collapsed="false">
      <c r="A309" s="91" t="s">
        <v>718</v>
      </c>
      <c r="B309" s="91" t="s">
        <v>1297</v>
      </c>
      <c r="C309" s="91" t="s">
        <v>731</v>
      </c>
      <c r="D309" s="91" t="s">
        <v>732</v>
      </c>
      <c r="E309" s="91" t="s">
        <v>200</v>
      </c>
      <c r="F309" s="91" t="n">
        <v>2012</v>
      </c>
      <c r="G309" s="91" t="n">
        <v>19000</v>
      </c>
      <c r="H309" s="91" t="n">
        <v>7527</v>
      </c>
      <c r="I309" s="91" t="s">
        <v>722</v>
      </c>
      <c r="J309" s="95" t="n">
        <v>44813</v>
      </c>
      <c r="K309" s="91" t="s">
        <v>451</v>
      </c>
      <c r="M309" s="91" t="s">
        <v>1298</v>
      </c>
      <c r="N309" s="91" t="s">
        <v>453</v>
      </c>
      <c r="O309" s="96" t="str">
        <f aca="false">CO_ORDINATES(N309)</f>
        <v>55.9014717,26.4760694</v>
      </c>
      <c r="Q309" s="91" t="n">
        <v>1</v>
      </c>
    </row>
    <row r="310" customFormat="false" ht="12.75" hidden="false" customHeight="false" outlineLevel="0" collapsed="false">
      <c r="A310" s="91" t="s">
        <v>718</v>
      </c>
      <c r="B310" s="91" t="s">
        <v>1299</v>
      </c>
      <c r="C310" s="91" t="s">
        <v>727</v>
      </c>
      <c r="D310" s="91" t="s">
        <v>786</v>
      </c>
      <c r="E310" s="91" t="s">
        <v>264</v>
      </c>
      <c r="F310" s="91" t="n">
        <v>2012</v>
      </c>
      <c r="G310" s="91" t="n">
        <v>18600</v>
      </c>
      <c r="H310" s="91" t="n">
        <v>8510</v>
      </c>
      <c r="I310" s="91" t="s">
        <v>722</v>
      </c>
      <c r="J310" s="95" t="n">
        <v>44904</v>
      </c>
      <c r="K310" s="91" t="s">
        <v>451</v>
      </c>
      <c r="L310" s="91" t="s">
        <v>452</v>
      </c>
      <c r="M310" s="91" t="s">
        <v>1298</v>
      </c>
      <c r="N310" s="91" t="s">
        <v>453</v>
      </c>
      <c r="O310" s="96" t="str">
        <f aca="false">CO_ORDINATES(N310)</f>
        <v>55.9014717,26.4760694</v>
      </c>
      <c r="Q310" s="91" t="n">
        <v>1</v>
      </c>
    </row>
    <row r="311" s="91" customFormat="true" ht="12.75" hidden="false" customHeight="false" outlineLevel="0" collapsed="false">
      <c r="A311" s="91" t="s">
        <v>718</v>
      </c>
      <c r="B311" s="91" t="s">
        <v>1300</v>
      </c>
      <c r="C311" s="91" t="s">
        <v>771</v>
      </c>
      <c r="D311" s="91" t="s">
        <v>925</v>
      </c>
      <c r="E311" s="91" t="s">
        <v>926</v>
      </c>
      <c r="F311" s="91" t="n">
        <v>2012</v>
      </c>
      <c r="G311" s="91" t="n">
        <v>18000</v>
      </c>
      <c r="H311" s="91" t="n">
        <v>8063</v>
      </c>
      <c r="I311" s="91" t="s">
        <v>722</v>
      </c>
      <c r="J311" s="95" t="n">
        <v>44818</v>
      </c>
      <c r="K311" s="91" t="s">
        <v>454</v>
      </c>
      <c r="M311" s="91" t="s">
        <v>1301</v>
      </c>
      <c r="N311" s="91" t="s">
        <v>456</v>
      </c>
      <c r="O311" s="96" t="str">
        <f aca="false">CO_ORDINATES(N311)</f>
        <v>55.84057465,26.49389755</v>
      </c>
      <c r="Q311" s="91" t="n">
        <v>1</v>
      </c>
    </row>
    <row r="312" s="91" customFormat="true" ht="12.75" hidden="false" customHeight="false" outlineLevel="0" collapsed="false">
      <c r="A312" s="91" t="s">
        <v>718</v>
      </c>
      <c r="B312" s="91" t="s">
        <v>1302</v>
      </c>
      <c r="C312" s="91" t="s">
        <v>771</v>
      </c>
      <c r="D312" s="91" t="s">
        <v>925</v>
      </c>
      <c r="E312" s="91" t="s">
        <v>926</v>
      </c>
      <c r="F312" s="91" t="n">
        <v>2012</v>
      </c>
      <c r="G312" s="91" t="n">
        <v>18000</v>
      </c>
      <c r="H312" s="91" t="n">
        <v>8025</v>
      </c>
      <c r="I312" s="91" t="s">
        <v>722</v>
      </c>
      <c r="J312" s="95" t="n">
        <v>44897</v>
      </c>
      <c r="K312" s="91" t="s">
        <v>454</v>
      </c>
      <c r="M312" s="91" t="s">
        <v>1301</v>
      </c>
      <c r="N312" s="91" t="s">
        <v>456</v>
      </c>
      <c r="O312" s="96" t="str">
        <f aca="false">CO_ORDINATES(N312)</f>
        <v>55.84057465,26.49389755</v>
      </c>
      <c r="Q312" s="91" t="n">
        <v>1</v>
      </c>
    </row>
    <row r="313" customFormat="false" ht="12.75" hidden="false" customHeight="false" outlineLevel="0" collapsed="false">
      <c r="A313" s="91" t="s">
        <v>718</v>
      </c>
      <c r="B313" s="91" t="s">
        <v>1303</v>
      </c>
      <c r="C313" s="91" t="s">
        <v>748</v>
      </c>
      <c r="D313" s="91" t="s">
        <v>749</v>
      </c>
      <c r="E313" s="91" t="s">
        <v>354</v>
      </c>
      <c r="F313" s="91" t="n">
        <v>2013</v>
      </c>
      <c r="G313" s="91" t="n">
        <v>18000</v>
      </c>
      <c r="H313" s="91" t="n">
        <v>8461</v>
      </c>
      <c r="I313" s="91" t="s">
        <v>722</v>
      </c>
      <c r="J313" s="95" t="n">
        <v>44917</v>
      </c>
      <c r="K313" s="91" t="s">
        <v>454</v>
      </c>
      <c r="L313" s="91" t="s">
        <v>455</v>
      </c>
      <c r="M313" s="91" t="s">
        <v>1301</v>
      </c>
      <c r="N313" s="91" t="s">
        <v>456</v>
      </c>
      <c r="O313" s="96" t="str">
        <f aca="false">CO_ORDINATES(N313)</f>
        <v>55.84057465,26.49389755</v>
      </c>
      <c r="Q313" s="91" t="n">
        <v>1</v>
      </c>
    </row>
    <row r="314" s="91" customFormat="true" ht="12.75" hidden="false" customHeight="false" outlineLevel="0" collapsed="false">
      <c r="A314" s="91" t="s">
        <v>718</v>
      </c>
      <c r="B314" s="91" t="s">
        <v>1304</v>
      </c>
      <c r="C314" s="91" t="s">
        <v>771</v>
      </c>
      <c r="D314" s="91" t="s">
        <v>1305</v>
      </c>
      <c r="E314" s="91" t="s">
        <v>1306</v>
      </c>
      <c r="F314" s="91" t="n">
        <v>1998</v>
      </c>
      <c r="G314" s="91" t="n">
        <v>19200</v>
      </c>
      <c r="H314" s="91" t="n">
        <v>7480</v>
      </c>
      <c r="I314" s="91" t="s">
        <v>722</v>
      </c>
      <c r="J314" s="95" t="n">
        <v>44722</v>
      </c>
      <c r="K314" s="91" t="s">
        <v>457</v>
      </c>
      <c r="M314" s="91" t="s">
        <v>1307</v>
      </c>
      <c r="N314" s="91" t="s">
        <v>459</v>
      </c>
      <c r="O314" s="96" t="str">
        <f aca="false">CO_ORDINATES(N314)</f>
        <v>55.8731869,26.5412122</v>
      </c>
      <c r="Q314" s="91" t="n">
        <v>1</v>
      </c>
    </row>
    <row r="315" s="91" customFormat="true" ht="12.75" hidden="false" customHeight="false" outlineLevel="0" collapsed="false">
      <c r="A315" s="91" t="s">
        <v>718</v>
      </c>
      <c r="B315" s="91" t="s">
        <v>1308</v>
      </c>
      <c r="C315" s="91" t="s">
        <v>727</v>
      </c>
      <c r="D315" s="91" t="s">
        <v>766</v>
      </c>
      <c r="E315" s="91" t="s">
        <v>767</v>
      </c>
      <c r="F315" s="91" t="n">
        <v>2003</v>
      </c>
      <c r="G315" s="91" t="n">
        <v>19000</v>
      </c>
      <c r="H315" s="91" t="n">
        <v>7000</v>
      </c>
      <c r="I315" s="91" t="s">
        <v>722</v>
      </c>
      <c r="J315" s="95" t="n">
        <v>44718</v>
      </c>
      <c r="K315" s="91" t="s">
        <v>457</v>
      </c>
      <c r="M315" s="91" t="s">
        <v>1307</v>
      </c>
      <c r="N315" s="91" t="s">
        <v>459</v>
      </c>
      <c r="O315" s="96" t="str">
        <f aca="false">CO_ORDINATES(N315)</f>
        <v>55.8731869,26.5412122</v>
      </c>
      <c r="Q315" s="91" t="n">
        <v>1</v>
      </c>
    </row>
    <row r="316" s="91" customFormat="true" ht="12.75" hidden="false" customHeight="false" outlineLevel="0" collapsed="false">
      <c r="A316" s="91" t="s">
        <v>718</v>
      </c>
      <c r="B316" s="91" t="s">
        <v>1309</v>
      </c>
      <c r="C316" s="91" t="s">
        <v>727</v>
      </c>
      <c r="D316" s="91" t="s">
        <v>766</v>
      </c>
      <c r="E316" s="91" t="s">
        <v>767</v>
      </c>
      <c r="F316" s="91" t="n">
        <v>2002</v>
      </c>
      <c r="G316" s="91" t="n">
        <v>18600</v>
      </c>
      <c r="H316" s="91" t="n">
        <v>7380</v>
      </c>
      <c r="I316" s="91" t="s">
        <v>722</v>
      </c>
      <c r="J316" s="95" t="n">
        <v>44740</v>
      </c>
      <c r="K316" s="91" t="s">
        <v>457</v>
      </c>
      <c r="M316" s="91" t="s">
        <v>1307</v>
      </c>
      <c r="N316" s="91" t="s">
        <v>459</v>
      </c>
      <c r="O316" s="96" t="str">
        <f aca="false">CO_ORDINATES(N316)</f>
        <v>55.8731869,26.5412122</v>
      </c>
      <c r="Q316" s="91" t="n">
        <v>1</v>
      </c>
    </row>
    <row r="317" customFormat="false" ht="12.75" hidden="false" customHeight="false" outlineLevel="0" collapsed="false">
      <c r="A317" s="91" t="s">
        <v>718</v>
      </c>
      <c r="B317" s="91" t="s">
        <v>1310</v>
      </c>
      <c r="C317" s="91" t="s">
        <v>771</v>
      </c>
      <c r="D317" s="91" t="s">
        <v>1305</v>
      </c>
      <c r="E317" s="91" t="s">
        <v>1306</v>
      </c>
      <c r="F317" s="91" t="n">
        <v>1997</v>
      </c>
      <c r="G317" s="91" t="n">
        <v>18000</v>
      </c>
      <c r="H317" s="91" t="n">
        <v>7500</v>
      </c>
      <c r="I317" s="91" t="s">
        <v>722</v>
      </c>
      <c r="J317" s="95" t="n">
        <v>45057</v>
      </c>
      <c r="K317" s="91" t="s">
        <v>457</v>
      </c>
      <c r="L317" s="91" t="s">
        <v>458</v>
      </c>
      <c r="M317" s="91" t="s">
        <v>1307</v>
      </c>
      <c r="N317" s="91" t="s">
        <v>459</v>
      </c>
      <c r="O317" s="96" t="str">
        <f aca="false">CO_ORDINATES(N317)</f>
        <v>55.8731869,26.5412122</v>
      </c>
      <c r="Q317" s="91" t="n">
        <v>1</v>
      </c>
    </row>
    <row r="318" s="91" customFormat="true" ht="12.75" hidden="false" customHeight="false" outlineLevel="0" collapsed="false">
      <c r="A318" s="91" t="s">
        <v>718</v>
      </c>
      <c r="B318" s="91" t="s">
        <v>1311</v>
      </c>
      <c r="C318" s="91" t="s">
        <v>731</v>
      </c>
      <c r="D318" s="91" t="s">
        <v>732</v>
      </c>
      <c r="E318" s="91" t="s">
        <v>200</v>
      </c>
      <c r="F318" s="91" t="n">
        <v>2015</v>
      </c>
      <c r="G318" s="91" t="n">
        <v>21000</v>
      </c>
      <c r="H318" s="91" t="n">
        <v>8764</v>
      </c>
      <c r="I318" s="91" t="s">
        <v>722</v>
      </c>
      <c r="J318" s="95" t="n">
        <v>44756</v>
      </c>
      <c r="K318" s="91" t="s">
        <v>460</v>
      </c>
      <c r="M318" s="91" t="s">
        <v>1312</v>
      </c>
      <c r="N318" s="91" t="s">
        <v>462</v>
      </c>
      <c r="O318" s="96" t="str">
        <f aca="false">CO_ORDINATES(N318)</f>
        <v>55.867761400000006,26.55706585797546</v>
      </c>
      <c r="Q318" s="91" t="n">
        <v>1</v>
      </c>
    </row>
    <row r="319" s="91" customFormat="true" ht="12.75" hidden="false" customHeight="false" outlineLevel="0" collapsed="false">
      <c r="A319" s="91" t="s">
        <v>718</v>
      </c>
      <c r="B319" s="91" t="s">
        <v>1313</v>
      </c>
      <c r="C319" s="91" t="s">
        <v>720</v>
      </c>
      <c r="D319" s="91" t="s">
        <v>721</v>
      </c>
      <c r="E319" s="91" t="s">
        <v>351</v>
      </c>
      <c r="F319" s="91" t="n">
        <v>2010</v>
      </c>
      <c r="G319" s="91" t="n">
        <v>20500</v>
      </c>
      <c r="H319" s="91" t="n">
        <v>7800</v>
      </c>
      <c r="I319" s="91" t="s">
        <v>722</v>
      </c>
      <c r="J319" s="95" t="n">
        <v>44881</v>
      </c>
      <c r="K319" s="91" t="s">
        <v>460</v>
      </c>
      <c r="M319" s="91" t="s">
        <v>1312</v>
      </c>
      <c r="N319" s="91" t="s">
        <v>462</v>
      </c>
      <c r="O319" s="96" t="str">
        <f aca="false">CO_ORDINATES(N319)</f>
        <v>55.867761400000006,26.55706585797546</v>
      </c>
      <c r="Q319" s="91" t="n">
        <v>1</v>
      </c>
    </row>
    <row r="320" s="91" customFormat="true" ht="12.75" hidden="false" customHeight="false" outlineLevel="0" collapsed="false">
      <c r="A320" s="91" t="s">
        <v>718</v>
      </c>
      <c r="B320" s="91" t="s">
        <v>1314</v>
      </c>
      <c r="C320" s="91" t="s">
        <v>720</v>
      </c>
      <c r="D320" s="91" t="s">
        <v>1315</v>
      </c>
      <c r="E320" s="91" t="s">
        <v>1316</v>
      </c>
      <c r="F320" s="91" t="n">
        <v>2014</v>
      </c>
      <c r="G320" s="91" t="n">
        <v>19500</v>
      </c>
      <c r="H320" s="91" t="n">
        <v>8290</v>
      </c>
      <c r="I320" s="91" t="s">
        <v>722</v>
      </c>
      <c r="J320" s="95" t="n">
        <v>44805</v>
      </c>
      <c r="K320" s="91" t="s">
        <v>460</v>
      </c>
      <c r="M320" s="91" t="s">
        <v>1312</v>
      </c>
      <c r="N320" s="91" t="s">
        <v>462</v>
      </c>
      <c r="O320" s="96" t="str">
        <f aca="false">CO_ORDINATES(N320)</f>
        <v>55.867761400000006,26.55706585797546</v>
      </c>
      <c r="Q320" s="91" t="n">
        <v>1</v>
      </c>
    </row>
    <row r="321" s="91" customFormat="true" ht="12.75" hidden="false" customHeight="false" outlineLevel="0" collapsed="false">
      <c r="A321" s="91" t="s">
        <v>718</v>
      </c>
      <c r="B321" s="91" t="s">
        <v>1317</v>
      </c>
      <c r="C321" s="91" t="s">
        <v>720</v>
      </c>
      <c r="D321" s="91" t="s">
        <v>1318</v>
      </c>
      <c r="E321" s="91" t="s">
        <v>1319</v>
      </c>
      <c r="F321" s="91" t="n">
        <v>2010</v>
      </c>
      <c r="G321" s="91" t="n">
        <v>19000</v>
      </c>
      <c r="H321" s="91" t="n">
        <v>7800</v>
      </c>
      <c r="I321" s="91" t="s">
        <v>722</v>
      </c>
      <c r="J321" s="95" t="n">
        <v>44732</v>
      </c>
      <c r="K321" s="91" t="s">
        <v>460</v>
      </c>
      <c r="M321" s="91" t="s">
        <v>1312</v>
      </c>
      <c r="N321" s="91" t="s">
        <v>462</v>
      </c>
      <c r="O321" s="96" t="str">
        <f aca="false">CO_ORDINATES(N321)</f>
        <v>55.867761400000006,26.55706585797546</v>
      </c>
      <c r="Q321" s="91" t="n">
        <v>1</v>
      </c>
    </row>
    <row r="322" s="91" customFormat="true" ht="12.75" hidden="false" customHeight="false" outlineLevel="0" collapsed="false">
      <c r="A322" s="91" t="s">
        <v>718</v>
      </c>
      <c r="B322" s="91" t="s">
        <v>1320</v>
      </c>
      <c r="C322" s="91" t="s">
        <v>720</v>
      </c>
      <c r="D322" s="91" t="s">
        <v>725</v>
      </c>
      <c r="E322" s="91" t="s">
        <v>281</v>
      </c>
      <c r="F322" s="91" t="n">
        <v>2014</v>
      </c>
      <c r="G322" s="91" t="n">
        <v>19000</v>
      </c>
      <c r="H322" s="91" t="n">
        <v>8322</v>
      </c>
      <c r="I322" s="91" t="s">
        <v>722</v>
      </c>
      <c r="J322" s="95" t="n">
        <v>44860</v>
      </c>
      <c r="K322" s="91" t="s">
        <v>460</v>
      </c>
      <c r="M322" s="91" t="s">
        <v>1312</v>
      </c>
      <c r="N322" s="91" t="s">
        <v>462</v>
      </c>
      <c r="O322" s="96" t="str">
        <f aca="false">CO_ORDINATES(N322)</f>
        <v>55.867761400000006,26.55706585797546</v>
      </c>
      <c r="Q322" s="91" t="n">
        <v>1</v>
      </c>
    </row>
    <row r="323" s="91" customFormat="true" ht="12.75" hidden="false" customHeight="false" outlineLevel="0" collapsed="false">
      <c r="A323" s="91" t="s">
        <v>718</v>
      </c>
      <c r="B323" s="91" t="s">
        <v>1321</v>
      </c>
      <c r="C323" s="91" t="s">
        <v>731</v>
      </c>
      <c r="D323" s="91" t="s">
        <v>732</v>
      </c>
      <c r="E323" s="91" t="s">
        <v>200</v>
      </c>
      <c r="F323" s="91" t="n">
        <v>2013</v>
      </c>
      <c r="G323" s="91" t="n">
        <v>19000</v>
      </c>
      <c r="H323" s="91" t="n">
        <v>8114</v>
      </c>
      <c r="I323" s="91" t="s">
        <v>722</v>
      </c>
      <c r="J323" s="95" t="n">
        <v>44918</v>
      </c>
      <c r="K323" s="91" t="s">
        <v>460</v>
      </c>
      <c r="M323" s="91" t="s">
        <v>1312</v>
      </c>
      <c r="N323" s="91" t="s">
        <v>462</v>
      </c>
      <c r="O323" s="96" t="str">
        <f aca="false">CO_ORDINATES(N323)</f>
        <v>55.867761400000006,26.55706585797546</v>
      </c>
      <c r="Q323" s="91" t="n">
        <v>1</v>
      </c>
    </row>
    <row r="324" s="91" customFormat="true" ht="12.75" hidden="false" customHeight="false" outlineLevel="0" collapsed="false">
      <c r="A324" s="91" t="s">
        <v>718</v>
      </c>
      <c r="B324" s="91" t="s">
        <v>1322</v>
      </c>
      <c r="C324" s="91" t="s">
        <v>720</v>
      </c>
      <c r="D324" s="91" t="s">
        <v>738</v>
      </c>
      <c r="E324" s="91" t="s">
        <v>206</v>
      </c>
      <c r="F324" s="91" t="n">
        <v>2008</v>
      </c>
      <c r="G324" s="91" t="n">
        <v>18000</v>
      </c>
      <c r="H324" s="91" t="n">
        <v>9035</v>
      </c>
      <c r="I324" s="91" t="s">
        <v>722</v>
      </c>
      <c r="J324" s="95" t="n">
        <v>44953</v>
      </c>
      <c r="K324" s="91" t="s">
        <v>460</v>
      </c>
      <c r="M324" s="91" t="s">
        <v>1312</v>
      </c>
      <c r="N324" s="91" t="s">
        <v>462</v>
      </c>
      <c r="O324" s="96" t="str">
        <f aca="false">CO_ORDINATES(N324)</f>
        <v>55.867761400000006,26.55706585797546</v>
      </c>
      <c r="Q324" s="91" t="n">
        <v>1</v>
      </c>
    </row>
    <row r="325" s="91" customFormat="true" ht="12.75" hidden="false" customHeight="false" outlineLevel="0" collapsed="false">
      <c r="A325" s="91" t="s">
        <v>718</v>
      </c>
      <c r="B325" s="91" t="s">
        <v>1323</v>
      </c>
      <c r="C325" s="91" t="s">
        <v>720</v>
      </c>
      <c r="D325" s="91" t="s">
        <v>721</v>
      </c>
      <c r="E325" s="91" t="s">
        <v>351</v>
      </c>
      <c r="F325" s="91" t="n">
        <v>2013</v>
      </c>
      <c r="G325" s="91" t="n">
        <v>18000</v>
      </c>
      <c r="H325" s="91" t="n">
        <v>8687</v>
      </c>
      <c r="I325" s="91" t="s">
        <v>722</v>
      </c>
      <c r="J325" s="95" t="n">
        <v>44754</v>
      </c>
      <c r="K325" s="91" t="s">
        <v>460</v>
      </c>
      <c r="M325" s="91" t="s">
        <v>1312</v>
      </c>
      <c r="N325" s="91" t="s">
        <v>462</v>
      </c>
      <c r="O325" s="96" t="str">
        <f aca="false">CO_ORDINATES(N325)</f>
        <v>55.867761400000006,26.55706585797546</v>
      </c>
      <c r="Q325" s="91" t="n">
        <v>1</v>
      </c>
    </row>
    <row r="326" s="91" customFormat="true" ht="12.75" hidden="false" customHeight="false" outlineLevel="0" collapsed="false">
      <c r="A326" s="91" t="s">
        <v>718</v>
      </c>
      <c r="B326" s="91" t="s">
        <v>1324</v>
      </c>
      <c r="C326" s="91" t="s">
        <v>720</v>
      </c>
      <c r="D326" s="91" t="s">
        <v>721</v>
      </c>
      <c r="E326" s="91" t="s">
        <v>351</v>
      </c>
      <c r="F326" s="91" t="n">
        <v>2012</v>
      </c>
      <c r="G326" s="91" t="n">
        <v>18000</v>
      </c>
      <c r="H326" s="91" t="n">
        <v>8648</v>
      </c>
      <c r="I326" s="91" t="s">
        <v>722</v>
      </c>
      <c r="J326" s="95" t="n">
        <v>44840</v>
      </c>
      <c r="K326" s="91" t="s">
        <v>460</v>
      </c>
      <c r="M326" s="91" t="s">
        <v>1312</v>
      </c>
      <c r="N326" s="91" t="s">
        <v>462</v>
      </c>
      <c r="O326" s="96" t="str">
        <f aca="false">CO_ORDINATES(N326)</f>
        <v>55.867761400000006,26.55706585797546</v>
      </c>
      <c r="Q326" s="91" t="n">
        <v>1</v>
      </c>
    </row>
    <row r="327" s="91" customFormat="true" ht="12.75" hidden="false" customHeight="false" outlineLevel="0" collapsed="false">
      <c r="A327" s="91" t="s">
        <v>718</v>
      </c>
      <c r="B327" s="91" t="s">
        <v>1325</v>
      </c>
      <c r="C327" s="91" t="s">
        <v>720</v>
      </c>
      <c r="D327" s="91" t="s">
        <v>725</v>
      </c>
      <c r="E327" s="91" t="s">
        <v>281</v>
      </c>
      <c r="F327" s="91" t="n">
        <v>2015</v>
      </c>
      <c r="G327" s="91" t="n">
        <v>18000</v>
      </c>
      <c r="H327" s="91" t="n">
        <v>8864</v>
      </c>
      <c r="I327" s="91" t="s">
        <v>868</v>
      </c>
      <c r="J327" s="95" t="n">
        <v>44749</v>
      </c>
      <c r="K327" s="91" t="s">
        <v>460</v>
      </c>
      <c r="M327" s="91" t="s">
        <v>1312</v>
      </c>
      <c r="N327" s="91" t="s">
        <v>462</v>
      </c>
      <c r="O327" s="96" t="str">
        <f aca="false">CO_ORDINATES(N327)</f>
        <v>55.867761400000006,26.55706585797546</v>
      </c>
      <c r="Q327" s="91" t="n">
        <v>1</v>
      </c>
    </row>
    <row r="328" s="91" customFormat="true" ht="12.75" hidden="false" customHeight="false" outlineLevel="0" collapsed="false">
      <c r="A328" s="91" t="s">
        <v>718</v>
      </c>
      <c r="B328" s="91" t="s">
        <v>1326</v>
      </c>
      <c r="C328" s="91" t="s">
        <v>720</v>
      </c>
      <c r="D328" s="91" t="s">
        <v>725</v>
      </c>
      <c r="E328" s="91" t="s">
        <v>281</v>
      </c>
      <c r="F328" s="91" t="n">
        <v>2014</v>
      </c>
      <c r="G328" s="91" t="n">
        <v>18000</v>
      </c>
      <c r="H328" s="91" t="n">
        <v>8544</v>
      </c>
      <c r="I328" s="91" t="s">
        <v>722</v>
      </c>
      <c r="J328" s="95" t="n">
        <v>44841</v>
      </c>
      <c r="K328" s="91" t="s">
        <v>460</v>
      </c>
      <c r="M328" s="91" t="s">
        <v>1312</v>
      </c>
      <c r="N328" s="91" t="s">
        <v>462</v>
      </c>
      <c r="O328" s="96" t="str">
        <f aca="false">CO_ORDINATES(N328)</f>
        <v>55.867761400000006,26.55706585797546</v>
      </c>
      <c r="Q328" s="91" t="n">
        <v>1</v>
      </c>
    </row>
    <row r="329" s="91" customFormat="true" ht="12.75" hidden="false" customHeight="false" outlineLevel="0" collapsed="false">
      <c r="A329" s="91" t="s">
        <v>718</v>
      </c>
      <c r="B329" s="91" t="s">
        <v>1327</v>
      </c>
      <c r="C329" s="91" t="s">
        <v>720</v>
      </c>
      <c r="D329" s="91" t="s">
        <v>725</v>
      </c>
      <c r="E329" s="91" t="s">
        <v>281</v>
      </c>
      <c r="F329" s="91" t="n">
        <v>2015</v>
      </c>
      <c r="G329" s="91" t="n">
        <v>18000</v>
      </c>
      <c r="H329" s="91" t="n">
        <v>8625</v>
      </c>
      <c r="I329" s="91" t="s">
        <v>722</v>
      </c>
      <c r="J329" s="95" t="n">
        <v>44950</v>
      </c>
      <c r="K329" s="91" t="s">
        <v>460</v>
      </c>
      <c r="M329" s="91" t="s">
        <v>1312</v>
      </c>
      <c r="N329" s="91" t="s">
        <v>462</v>
      </c>
      <c r="O329" s="96" t="str">
        <f aca="false">CO_ORDINATES(N329)</f>
        <v>55.867761400000006,26.55706585797546</v>
      </c>
      <c r="Q329" s="91" t="n">
        <v>1</v>
      </c>
    </row>
    <row r="330" s="91" customFormat="true" ht="12.75" hidden="false" customHeight="false" outlineLevel="0" collapsed="false">
      <c r="A330" s="91" t="s">
        <v>718</v>
      </c>
      <c r="B330" s="91" t="s">
        <v>1328</v>
      </c>
      <c r="C330" s="91" t="s">
        <v>720</v>
      </c>
      <c r="D330" s="91" t="s">
        <v>725</v>
      </c>
      <c r="E330" s="91" t="s">
        <v>281</v>
      </c>
      <c r="F330" s="91" t="n">
        <v>2017</v>
      </c>
      <c r="G330" s="91" t="n">
        <v>18000</v>
      </c>
      <c r="H330" s="91" t="n">
        <v>8619</v>
      </c>
      <c r="I330" s="91" t="s">
        <v>722</v>
      </c>
      <c r="J330" s="95" t="n">
        <v>44959</v>
      </c>
      <c r="K330" s="91" t="s">
        <v>460</v>
      </c>
      <c r="M330" s="91" t="s">
        <v>1312</v>
      </c>
      <c r="N330" s="91" t="s">
        <v>462</v>
      </c>
      <c r="O330" s="96" t="str">
        <f aca="false">CO_ORDINATES(N330)</f>
        <v>55.867761400000006,26.55706585797546</v>
      </c>
      <c r="Q330" s="91" t="n">
        <v>1</v>
      </c>
    </row>
    <row r="331" s="91" customFormat="true" ht="12.75" hidden="false" customHeight="false" outlineLevel="0" collapsed="false">
      <c r="A331" s="91" t="s">
        <v>718</v>
      </c>
      <c r="B331" s="91" t="s">
        <v>1329</v>
      </c>
      <c r="C331" s="91" t="s">
        <v>720</v>
      </c>
      <c r="D331" s="91" t="s">
        <v>1330</v>
      </c>
      <c r="E331" s="91" t="s">
        <v>1331</v>
      </c>
      <c r="F331" s="91" t="n">
        <v>2016</v>
      </c>
      <c r="G331" s="91" t="n">
        <v>18000</v>
      </c>
      <c r="H331" s="91" t="n">
        <v>8803</v>
      </c>
      <c r="I331" s="91" t="s">
        <v>722</v>
      </c>
      <c r="J331" s="95" t="n">
        <v>44798</v>
      </c>
      <c r="K331" s="91" t="s">
        <v>460</v>
      </c>
      <c r="M331" s="91" t="s">
        <v>1312</v>
      </c>
      <c r="N331" s="91" t="s">
        <v>462</v>
      </c>
      <c r="O331" s="96" t="str">
        <f aca="false">CO_ORDINATES(N331)</f>
        <v>55.867761400000006,26.55706585797546</v>
      </c>
      <c r="Q331" s="91" t="n">
        <v>1</v>
      </c>
    </row>
    <row r="332" customFormat="false" ht="12.75" hidden="false" customHeight="false" outlineLevel="0" collapsed="false">
      <c r="A332" s="91" t="s">
        <v>718</v>
      </c>
      <c r="B332" s="91" t="s">
        <v>1332</v>
      </c>
      <c r="C332" s="91" t="s">
        <v>771</v>
      </c>
      <c r="D332" s="91" t="s">
        <v>1231</v>
      </c>
      <c r="E332" s="91" t="s">
        <v>473</v>
      </c>
      <c r="F332" s="91" t="n">
        <v>2011</v>
      </c>
      <c r="G332" s="91" t="n">
        <v>18000</v>
      </c>
      <c r="H332" s="91" t="n">
        <v>8100</v>
      </c>
      <c r="I332" s="91" t="s">
        <v>722</v>
      </c>
      <c r="J332" s="95" t="n">
        <v>44840</v>
      </c>
      <c r="K332" s="91" t="s">
        <v>460</v>
      </c>
      <c r="L332" s="91" t="s">
        <v>461</v>
      </c>
      <c r="M332" s="91" t="s">
        <v>1312</v>
      </c>
      <c r="N332" s="91" t="s">
        <v>462</v>
      </c>
      <c r="O332" s="96" t="str">
        <f aca="false">CO_ORDINATES(N332)</f>
        <v>55.867761400000006,26.55706585797546</v>
      </c>
      <c r="Q332" s="91" t="n">
        <v>1</v>
      </c>
    </row>
    <row r="333" customFormat="false" ht="12.75" hidden="false" customHeight="false" outlineLevel="0" collapsed="false">
      <c r="A333" s="97" t="s">
        <v>718</v>
      </c>
      <c r="B333" s="97" t="s">
        <v>1333</v>
      </c>
      <c r="C333" s="97" t="s">
        <v>720</v>
      </c>
      <c r="D333" s="97" t="s">
        <v>721</v>
      </c>
      <c r="E333" s="97" t="s">
        <v>351</v>
      </c>
      <c r="F333" s="97" t="n">
        <v>2011</v>
      </c>
      <c r="G333" s="97" t="n">
        <v>26100</v>
      </c>
      <c r="H333" s="97" t="n">
        <v>9300</v>
      </c>
      <c r="I333" s="97" t="s">
        <v>722</v>
      </c>
      <c r="J333" s="99" t="n">
        <v>45037</v>
      </c>
      <c r="K333" s="97" t="s">
        <v>463</v>
      </c>
      <c r="L333" s="97"/>
      <c r="M333" s="97" t="s">
        <v>1334</v>
      </c>
      <c r="N333" s="97" t="s">
        <v>465</v>
      </c>
      <c r="O333" s="96" t="str">
        <f aca="false">CO_ORDINATES(N333)</f>
        <v>55.8854269,26.5368256</v>
      </c>
      <c r="P333" s="97"/>
      <c r="Q333" s="97" t="n">
        <v>1</v>
      </c>
    </row>
    <row r="334" s="91" customFormat="true" ht="12.75" hidden="false" customHeight="false" outlineLevel="0" collapsed="false">
      <c r="A334" s="91" t="s">
        <v>718</v>
      </c>
      <c r="B334" s="91" t="s">
        <v>1335</v>
      </c>
      <c r="C334" s="91" t="s">
        <v>720</v>
      </c>
      <c r="D334" s="91" t="s">
        <v>760</v>
      </c>
      <c r="E334" s="91" t="s">
        <v>222</v>
      </c>
      <c r="F334" s="91" t="n">
        <v>2006</v>
      </c>
      <c r="G334" s="91" t="n">
        <v>20500</v>
      </c>
      <c r="H334" s="91" t="n">
        <v>8290</v>
      </c>
      <c r="I334" s="91" t="s">
        <v>722</v>
      </c>
      <c r="J334" s="95" t="n">
        <v>44937</v>
      </c>
      <c r="K334" s="91" t="s">
        <v>463</v>
      </c>
      <c r="M334" s="91" t="s">
        <v>1334</v>
      </c>
      <c r="N334" s="91" t="s">
        <v>1336</v>
      </c>
      <c r="O334" s="96" t="str">
        <f aca="false">CO_ORDINATES(N334)</f>
        <v>55.8854269,26.5368256</v>
      </c>
      <c r="Q334" s="91" t="n">
        <v>1</v>
      </c>
    </row>
    <row r="335" s="91" customFormat="true" ht="12.75" hidden="false" customHeight="false" outlineLevel="0" collapsed="false">
      <c r="A335" s="91" t="s">
        <v>718</v>
      </c>
      <c r="B335" s="91" t="s">
        <v>1337</v>
      </c>
      <c r="C335" s="91" t="s">
        <v>727</v>
      </c>
      <c r="D335" s="91" t="s">
        <v>1163</v>
      </c>
      <c r="E335" s="91" t="s">
        <v>1164</v>
      </c>
      <c r="F335" s="91" t="n">
        <v>2000</v>
      </c>
      <c r="G335" s="91" t="n">
        <v>19000</v>
      </c>
      <c r="H335" s="91" t="n">
        <v>7450</v>
      </c>
      <c r="I335" s="91" t="s">
        <v>722</v>
      </c>
      <c r="J335" s="95" t="n">
        <v>45043</v>
      </c>
      <c r="K335" s="91" t="s">
        <v>463</v>
      </c>
      <c r="M335" s="91" t="s">
        <v>1334</v>
      </c>
      <c r="N335" s="91" t="s">
        <v>465</v>
      </c>
      <c r="O335" s="96" t="str">
        <f aca="false">CO_ORDINATES(N335)</f>
        <v>55.8854269,26.5368256</v>
      </c>
      <c r="Q335" s="91" t="n">
        <v>1</v>
      </c>
    </row>
    <row r="336" customFormat="false" ht="12.75" hidden="false" customHeight="false" outlineLevel="0" collapsed="false">
      <c r="A336" s="91" t="s">
        <v>718</v>
      </c>
      <c r="B336" s="91" t="s">
        <v>1338</v>
      </c>
      <c r="C336" s="91" t="s">
        <v>720</v>
      </c>
      <c r="D336" s="91" t="s">
        <v>755</v>
      </c>
      <c r="E336" s="91" t="s">
        <v>217</v>
      </c>
      <c r="F336" s="91" t="n">
        <v>2010</v>
      </c>
      <c r="G336" s="91" t="n">
        <v>18000</v>
      </c>
      <c r="H336" s="91" t="n">
        <v>6220</v>
      </c>
      <c r="I336" s="91" t="s">
        <v>722</v>
      </c>
      <c r="J336" s="95" t="n">
        <v>44967</v>
      </c>
      <c r="K336" s="91" t="s">
        <v>463</v>
      </c>
      <c r="L336" s="91" t="s">
        <v>464</v>
      </c>
      <c r="M336" s="91" t="s">
        <v>1334</v>
      </c>
      <c r="N336" s="91" t="s">
        <v>1336</v>
      </c>
      <c r="O336" s="96" t="str">
        <f aca="false">CO_ORDINATES(N336)</f>
        <v>55.8854269,26.5368256</v>
      </c>
      <c r="Q336" s="91" t="n">
        <v>1</v>
      </c>
    </row>
    <row r="337" customFormat="false" ht="12.75" hidden="false" customHeight="false" outlineLevel="0" collapsed="false">
      <c r="A337" s="97" t="s">
        <v>718</v>
      </c>
      <c r="B337" s="97" t="s">
        <v>1339</v>
      </c>
      <c r="C337" s="97" t="s">
        <v>727</v>
      </c>
      <c r="D337" s="97" t="s">
        <v>1340</v>
      </c>
      <c r="E337" s="97" t="s">
        <v>467</v>
      </c>
      <c r="F337" s="97" t="n">
        <v>1996</v>
      </c>
      <c r="G337" s="97" t="n">
        <v>26000</v>
      </c>
      <c r="H337" s="97" t="n">
        <v>14010</v>
      </c>
      <c r="I337" s="97" t="s">
        <v>722</v>
      </c>
      <c r="J337" s="99" t="n">
        <v>44979</v>
      </c>
      <c r="K337" s="97" t="s">
        <v>466</v>
      </c>
      <c r="L337" s="97" t="s">
        <v>467</v>
      </c>
      <c r="M337" s="97" t="s">
        <v>1341</v>
      </c>
      <c r="N337" s="97" t="s">
        <v>468</v>
      </c>
      <c r="O337" s="96" t="str">
        <f aca="false">CO_ORDINATES(N337)</f>
        <v>55.8787363,26.512905663461535</v>
      </c>
      <c r="P337" s="97"/>
      <c r="Q337" s="97" t="n">
        <v>1</v>
      </c>
    </row>
    <row r="338" s="91" customFormat="true" ht="12.75" hidden="false" customHeight="false" outlineLevel="0" collapsed="false">
      <c r="A338" s="91" t="s">
        <v>718</v>
      </c>
      <c r="B338" s="91" t="s">
        <v>1342</v>
      </c>
      <c r="C338" s="91" t="s">
        <v>720</v>
      </c>
      <c r="D338" s="91" t="s">
        <v>801</v>
      </c>
      <c r="E338" s="91" t="s">
        <v>348</v>
      </c>
      <c r="F338" s="91" t="n">
        <v>2013</v>
      </c>
      <c r="G338" s="91" t="n">
        <v>20500</v>
      </c>
      <c r="H338" s="91" t="n">
        <v>8760</v>
      </c>
      <c r="I338" s="91" t="s">
        <v>722</v>
      </c>
      <c r="J338" s="95" t="n">
        <v>44908</v>
      </c>
      <c r="K338" s="91" t="s">
        <v>469</v>
      </c>
      <c r="M338" s="91" t="s">
        <v>1343</v>
      </c>
      <c r="N338" s="91" t="s">
        <v>471</v>
      </c>
      <c r="O338" s="98" t="e">
        <f aca="false">CO_ORDINATES(N338)</f>
        <v>#VALUE!</v>
      </c>
      <c r="Q338" s="91" t="n">
        <v>1</v>
      </c>
    </row>
    <row r="339" s="91" customFormat="true" ht="12.75" hidden="false" customHeight="false" outlineLevel="0" collapsed="false">
      <c r="A339" s="91" t="s">
        <v>718</v>
      </c>
      <c r="B339" s="91" t="s">
        <v>1344</v>
      </c>
      <c r="C339" s="91" t="s">
        <v>720</v>
      </c>
      <c r="D339" s="91" t="s">
        <v>801</v>
      </c>
      <c r="E339" s="91" t="s">
        <v>348</v>
      </c>
      <c r="F339" s="91" t="n">
        <v>2013</v>
      </c>
      <c r="G339" s="91" t="n">
        <v>20500</v>
      </c>
      <c r="H339" s="91" t="n">
        <v>8850</v>
      </c>
      <c r="I339" s="91" t="s">
        <v>722</v>
      </c>
      <c r="J339" s="95" t="n">
        <v>44900</v>
      </c>
      <c r="K339" s="91" t="s">
        <v>469</v>
      </c>
      <c r="M339" s="91" t="s">
        <v>1343</v>
      </c>
      <c r="N339" s="91" t="s">
        <v>1345</v>
      </c>
      <c r="O339" s="98" t="e">
        <f aca="false">CO_ORDINATES(N339)</f>
        <v>#VALUE!</v>
      </c>
      <c r="Q339" s="91" t="n">
        <v>1</v>
      </c>
    </row>
    <row r="340" s="91" customFormat="true" ht="12.75" hidden="false" customHeight="false" outlineLevel="0" collapsed="false">
      <c r="A340" s="91" t="s">
        <v>718</v>
      </c>
      <c r="B340" s="91" t="s">
        <v>1346</v>
      </c>
      <c r="C340" s="91" t="s">
        <v>720</v>
      </c>
      <c r="D340" s="91" t="s">
        <v>721</v>
      </c>
      <c r="E340" s="91" t="s">
        <v>351</v>
      </c>
      <c r="F340" s="91" t="n">
        <v>2011</v>
      </c>
      <c r="G340" s="91" t="n">
        <v>18000</v>
      </c>
      <c r="H340" s="91" t="n">
        <v>8810</v>
      </c>
      <c r="I340" s="91" t="s">
        <v>722</v>
      </c>
      <c r="J340" s="95" t="n">
        <v>44783</v>
      </c>
      <c r="K340" s="91" t="s">
        <v>469</v>
      </c>
      <c r="M340" s="91" t="s">
        <v>1343</v>
      </c>
      <c r="N340" s="91" t="s">
        <v>471</v>
      </c>
      <c r="O340" s="98" t="e">
        <f aca="false">CO_ORDINATES(N340)</f>
        <v>#VALUE!</v>
      </c>
      <c r="Q340" s="91" t="n">
        <v>1</v>
      </c>
    </row>
    <row r="341" customFormat="false" ht="12.75" hidden="false" customHeight="false" outlineLevel="0" collapsed="false">
      <c r="A341" s="91" t="s">
        <v>718</v>
      </c>
      <c r="B341" s="91" t="s">
        <v>1347</v>
      </c>
      <c r="C341" s="91" t="s">
        <v>720</v>
      </c>
      <c r="D341" s="91" t="s">
        <v>721</v>
      </c>
      <c r="E341" s="91" t="s">
        <v>351</v>
      </c>
      <c r="F341" s="91" t="n">
        <v>2012</v>
      </c>
      <c r="G341" s="91" t="n">
        <v>18000</v>
      </c>
      <c r="H341" s="91" t="n">
        <v>9020</v>
      </c>
      <c r="I341" s="91" t="s">
        <v>722</v>
      </c>
      <c r="J341" s="95" t="n">
        <v>44607</v>
      </c>
      <c r="K341" s="91" t="s">
        <v>469</v>
      </c>
      <c r="L341" s="91" t="s">
        <v>470</v>
      </c>
      <c r="M341" s="91" t="s">
        <v>1343</v>
      </c>
      <c r="N341" s="91" t="s">
        <v>1345</v>
      </c>
      <c r="O341" s="98" t="e">
        <f aca="false">CO_ORDINATES(N341)</f>
        <v>#VALUE!</v>
      </c>
      <c r="Q341" s="91" t="n">
        <v>1</v>
      </c>
    </row>
    <row r="342" customFormat="false" ht="12.75" hidden="false" customHeight="false" outlineLevel="0" collapsed="false">
      <c r="A342" s="91" t="s">
        <v>718</v>
      </c>
      <c r="B342" s="91" t="s">
        <v>1348</v>
      </c>
      <c r="C342" s="91" t="s">
        <v>771</v>
      </c>
      <c r="D342" s="91" t="s">
        <v>1231</v>
      </c>
      <c r="E342" s="91" t="s">
        <v>473</v>
      </c>
      <c r="F342" s="91" t="n">
        <v>2011</v>
      </c>
      <c r="G342" s="91" t="n">
        <v>18000</v>
      </c>
      <c r="H342" s="91" t="n">
        <v>8100</v>
      </c>
      <c r="I342" s="91" t="s">
        <v>722</v>
      </c>
      <c r="J342" s="95" t="n">
        <v>45079</v>
      </c>
      <c r="K342" s="91" t="s">
        <v>472</v>
      </c>
      <c r="L342" s="91" t="s">
        <v>473</v>
      </c>
      <c r="M342" s="91" t="s">
        <v>1349</v>
      </c>
      <c r="N342" s="91" t="s">
        <v>474</v>
      </c>
      <c r="O342" s="96" t="str">
        <f aca="false">CO_ORDINATES(N342)</f>
        <v>55.9044998,26.531814</v>
      </c>
      <c r="Q342" s="91" t="n">
        <v>1</v>
      </c>
    </row>
    <row r="343" customFormat="false" ht="12.75" hidden="false" customHeight="false" outlineLevel="0" collapsed="false">
      <c r="A343" s="91" t="s">
        <v>718</v>
      </c>
      <c r="B343" s="91" t="s">
        <v>1350</v>
      </c>
      <c r="C343" s="91" t="s">
        <v>727</v>
      </c>
      <c r="D343" s="91" t="s">
        <v>786</v>
      </c>
      <c r="E343" s="91" t="s">
        <v>264</v>
      </c>
      <c r="F343" s="91" t="n">
        <v>2009</v>
      </c>
      <c r="G343" s="91" t="n">
        <v>19500</v>
      </c>
      <c r="H343" s="91" t="n">
        <v>7360</v>
      </c>
      <c r="I343" s="91" t="s">
        <v>722</v>
      </c>
      <c r="J343" s="95" t="n">
        <v>44729</v>
      </c>
      <c r="K343" s="91" t="s">
        <v>1351</v>
      </c>
      <c r="L343" s="91" t="s">
        <v>264</v>
      </c>
      <c r="M343" s="91" t="s">
        <v>1352</v>
      </c>
      <c r="N343" s="91" t="s">
        <v>1353</v>
      </c>
      <c r="O343" s="96" t="str">
        <f aca="false">CO_ORDINATES(N343)</f>
        <v>55.99061195,26.627314199005824</v>
      </c>
      <c r="Q343" s="91" t="n">
        <v>1</v>
      </c>
    </row>
    <row r="344" s="91" customFormat="true" ht="12.75" hidden="false" customHeight="false" outlineLevel="0" collapsed="false">
      <c r="A344" s="91" t="s">
        <v>718</v>
      </c>
      <c r="B344" s="91" t="s">
        <v>1354</v>
      </c>
      <c r="C344" s="91" t="s">
        <v>727</v>
      </c>
      <c r="D344" s="91" t="s">
        <v>920</v>
      </c>
      <c r="E344" s="91" t="s">
        <v>298</v>
      </c>
      <c r="F344" s="91" t="n">
        <v>2010</v>
      </c>
      <c r="G344" s="91" t="n">
        <v>19000</v>
      </c>
      <c r="H344" s="91" t="n">
        <v>8410</v>
      </c>
      <c r="I344" s="91" t="s">
        <v>722</v>
      </c>
      <c r="J344" s="95" t="n">
        <v>45044</v>
      </c>
      <c r="K344" s="91" t="s">
        <v>475</v>
      </c>
      <c r="M344" s="91" t="s">
        <v>1355</v>
      </c>
      <c r="N344" s="91" t="s">
        <v>477</v>
      </c>
      <c r="O344" s="96" t="str">
        <f aca="false">CO_ORDINATES(N344)</f>
        <v>55.8788789,26.5270894</v>
      </c>
      <c r="Q344" s="91" t="n">
        <v>1</v>
      </c>
    </row>
    <row r="345" s="91" customFormat="true" ht="12.75" hidden="false" customHeight="false" outlineLevel="0" collapsed="false">
      <c r="A345" s="91" t="s">
        <v>718</v>
      </c>
      <c r="B345" s="91" t="s">
        <v>1356</v>
      </c>
      <c r="C345" s="91" t="s">
        <v>727</v>
      </c>
      <c r="D345" s="91" t="s">
        <v>786</v>
      </c>
      <c r="E345" s="91" t="s">
        <v>264</v>
      </c>
      <c r="F345" s="91" t="n">
        <v>2011</v>
      </c>
      <c r="G345" s="91" t="n">
        <v>18600</v>
      </c>
      <c r="H345" s="91" t="n">
        <v>8420</v>
      </c>
      <c r="I345" s="91" t="s">
        <v>722</v>
      </c>
      <c r="J345" s="95" t="n">
        <v>44792</v>
      </c>
      <c r="K345" s="91" t="s">
        <v>475</v>
      </c>
      <c r="M345" s="91" t="s">
        <v>1355</v>
      </c>
      <c r="N345" s="91" t="s">
        <v>388</v>
      </c>
      <c r="O345" s="96" t="str">
        <f aca="false">CO_ORDINATES(N345)</f>
        <v>55.8937755,26.4913174</v>
      </c>
      <c r="Q345" s="91" t="n">
        <v>1</v>
      </c>
    </row>
    <row r="346" s="91" customFormat="true" ht="12.75" hidden="false" customHeight="false" outlineLevel="0" collapsed="false">
      <c r="A346" s="91" t="s">
        <v>718</v>
      </c>
      <c r="B346" s="91" t="s">
        <v>1357</v>
      </c>
      <c r="C346" s="91" t="s">
        <v>748</v>
      </c>
      <c r="D346" s="91" t="s">
        <v>824</v>
      </c>
      <c r="E346" s="91" t="s">
        <v>825</v>
      </c>
      <c r="F346" s="91" t="n">
        <v>2013</v>
      </c>
      <c r="G346" s="91" t="n">
        <v>18000</v>
      </c>
      <c r="H346" s="91" t="n">
        <v>8400</v>
      </c>
      <c r="I346" s="91" t="s">
        <v>745</v>
      </c>
      <c r="J346" s="95" t="n">
        <v>44944</v>
      </c>
      <c r="K346" s="91" t="s">
        <v>475</v>
      </c>
      <c r="M346" s="91" t="s">
        <v>1355</v>
      </c>
      <c r="N346" s="91" t="s">
        <v>477</v>
      </c>
      <c r="O346" s="96" t="str">
        <f aca="false">CO_ORDINATES(N346)</f>
        <v>55.8788789,26.5270894</v>
      </c>
      <c r="Q346" s="91" t="n">
        <v>1</v>
      </c>
    </row>
    <row r="347" customFormat="false" ht="12.75" hidden="false" customHeight="false" outlineLevel="0" collapsed="false">
      <c r="A347" s="91" t="s">
        <v>718</v>
      </c>
      <c r="B347" s="91" t="s">
        <v>1358</v>
      </c>
      <c r="C347" s="91" t="s">
        <v>748</v>
      </c>
      <c r="D347" s="91" t="s">
        <v>824</v>
      </c>
      <c r="E347" s="91" t="s">
        <v>825</v>
      </c>
      <c r="F347" s="91" t="n">
        <v>2012</v>
      </c>
      <c r="G347" s="91" t="n">
        <v>18000</v>
      </c>
      <c r="H347" s="91" t="n">
        <v>8400</v>
      </c>
      <c r="I347" s="91" t="s">
        <v>722</v>
      </c>
      <c r="J347" s="95" t="n">
        <v>44881</v>
      </c>
      <c r="K347" s="91" t="s">
        <v>475</v>
      </c>
      <c r="L347" s="91" t="s">
        <v>476</v>
      </c>
      <c r="M347" s="91" t="s">
        <v>1355</v>
      </c>
      <c r="N347" s="91" t="s">
        <v>388</v>
      </c>
      <c r="O347" s="96" t="str">
        <f aca="false">CO_ORDINATES(N347)</f>
        <v>55.8937755,26.4913174</v>
      </c>
      <c r="Q347" s="91" t="n">
        <v>1</v>
      </c>
    </row>
    <row r="348" s="91" customFormat="true" ht="12.75" hidden="false" customHeight="false" outlineLevel="0" collapsed="false">
      <c r="A348" s="91" t="s">
        <v>718</v>
      </c>
      <c r="B348" s="91" t="s">
        <v>1359</v>
      </c>
      <c r="C348" s="91" t="s">
        <v>933</v>
      </c>
      <c r="D348" s="91" t="s">
        <v>1276</v>
      </c>
      <c r="E348" s="91" t="s">
        <v>1277</v>
      </c>
      <c r="F348" s="91" t="n">
        <v>2018</v>
      </c>
      <c r="G348" s="91" t="n">
        <v>20000</v>
      </c>
      <c r="H348" s="91" t="n">
        <v>8450</v>
      </c>
      <c r="I348" s="91" t="s">
        <v>722</v>
      </c>
      <c r="J348" s="95" t="n">
        <v>45082</v>
      </c>
      <c r="K348" s="91" t="s">
        <v>478</v>
      </c>
      <c r="M348" s="91" t="s">
        <v>1360</v>
      </c>
      <c r="N348" s="91" t="s">
        <v>480</v>
      </c>
      <c r="O348" s="96" t="str">
        <f aca="false">CO_ORDINATES(N348)</f>
        <v>55.8335968,26.4884448</v>
      </c>
      <c r="Q348" s="91" t="n">
        <v>1</v>
      </c>
    </row>
    <row r="349" s="91" customFormat="true" ht="12.75" hidden="false" customHeight="false" outlineLevel="0" collapsed="false">
      <c r="A349" s="91" t="s">
        <v>718</v>
      </c>
      <c r="B349" s="91" t="s">
        <v>1361</v>
      </c>
      <c r="C349" s="91" t="s">
        <v>727</v>
      </c>
      <c r="D349" s="91" t="s">
        <v>766</v>
      </c>
      <c r="E349" s="91" t="s">
        <v>767</v>
      </c>
      <c r="F349" s="91" t="n">
        <v>2004</v>
      </c>
      <c r="G349" s="91" t="n">
        <v>18000</v>
      </c>
      <c r="H349" s="91" t="n">
        <v>8040</v>
      </c>
      <c r="I349" s="91" t="s">
        <v>722</v>
      </c>
      <c r="J349" s="95" t="n">
        <v>45007</v>
      </c>
      <c r="K349" s="91" t="s">
        <v>478</v>
      </c>
      <c r="M349" s="91" t="s">
        <v>1360</v>
      </c>
      <c r="N349" s="91" t="s">
        <v>480</v>
      </c>
      <c r="O349" s="96" t="str">
        <f aca="false">CO_ORDINATES(N349)</f>
        <v>55.8335968,26.4884448</v>
      </c>
      <c r="Q349" s="91" t="n">
        <v>1</v>
      </c>
    </row>
    <row r="350" customFormat="false" ht="12.75" hidden="false" customHeight="false" outlineLevel="0" collapsed="false">
      <c r="A350" s="91" t="s">
        <v>718</v>
      </c>
      <c r="B350" s="91" t="s">
        <v>1362</v>
      </c>
      <c r="C350" s="91" t="s">
        <v>933</v>
      </c>
      <c r="D350" s="91" t="s">
        <v>1363</v>
      </c>
      <c r="E350" s="91" t="s">
        <v>1364</v>
      </c>
      <c r="F350" s="91" t="n">
        <v>2003</v>
      </c>
      <c r="G350" s="91" t="n">
        <v>3500</v>
      </c>
      <c r="H350" s="91" t="n">
        <v>2290</v>
      </c>
      <c r="I350" s="91" t="s">
        <v>722</v>
      </c>
      <c r="J350" s="95" t="n">
        <v>44811</v>
      </c>
      <c r="K350" s="91" t="s">
        <v>478</v>
      </c>
      <c r="L350" s="91" t="s">
        <v>479</v>
      </c>
      <c r="M350" s="91" t="s">
        <v>1360</v>
      </c>
      <c r="N350" s="91" t="s">
        <v>480</v>
      </c>
      <c r="O350" s="96" t="str">
        <f aca="false">CO_ORDINATES(N350)</f>
        <v>55.8335968,26.4884448</v>
      </c>
      <c r="Q350" s="91" t="n">
        <v>1</v>
      </c>
    </row>
    <row r="351" customFormat="false" ht="12.75" hidden="false" customHeight="false" outlineLevel="0" collapsed="false">
      <c r="A351" s="91" t="s">
        <v>718</v>
      </c>
      <c r="B351" s="91" t="s">
        <v>1365</v>
      </c>
      <c r="C351" s="91" t="s">
        <v>968</v>
      </c>
      <c r="D351" s="91" t="s">
        <v>1366</v>
      </c>
      <c r="E351" s="91" t="s">
        <v>482</v>
      </c>
      <c r="F351" s="91" t="n">
        <v>2010</v>
      </c>
      <c r="G351" s="91" t="n">
        <v>19000</v>
      </c>
      <c r="H351" s="91" t="n">
        <v>7450</v>
      </c>
      <c r="I351" s="91" t="s">
        <v>722</v>
      </c>
      <c r="J351" s="95" t="n">
        <v>45015</v>
      </c>
      <c r="K351" s="91" t="s">
        <v>481</v>
      </c>
      <c r="L351" s="91" t="s">
        <v>482</v>
      </c>
      <c r="M351" s="91" t="s">
        <v>1367</v>
      </c>
      <c r="N351" s="91" t="s">
        <v>483</v>
      </c>
      <c r="O351" s="98" t="e">
        <f aca="false">CO_ORDINATES(N351)</f>
        <v>#VALUE!</v>
      </c>
      <c r="Q351" s="91" t="n">
        <v>1</v>
      </c>
    </row>
    <row r="352" s="91" customFormat="true" ht="12.75" hidden="false" customHeight="false" outlineLevel="0" collapsed="false">
      <c r="A352" s="91" t="s">
        <v>718</v>
      </c>
      <c r="B352" s="91" t="s">
        <v>1368</v>
      </c>
      <c r="C352" s="91" t="s">
        <v>731</v>
      </c>
      <c r="D352" s="91" t="s">
        <v>732</v>
      </c>
      <c r="E352" s="91" t="s">
        <v>200</v>
      </c>
      <c r="F352" s="91" t="n">
        <v>2015</v>
      </c>
      <c r="G352" s="91" t="n">
        <v>20500</v>
      </c>
      <c r="H352" s="91" t="n">
        <v>8633</v>
      </c>
      <c r="I352" s="91" t="s">
        <v>722</v>
      </c>
      <c r="J352" s="95" t="n">
        <v>45015</v>
      </c>
      <c r="K352" s="91" t="s">
        <v>484</v>
      </c>
      <c r="M352" s="91" t="s">
        <v>1369</v>
      </c>
      <c r="N352" s="91" t="s">
        <v>486</v>
      </c>
      <c r="O352" s="96" t="str">
        <f aca="false">CO_ORDINATES(N352)</f>
        <v>55.8725174,26.5482082</v>
      </c>
      <c r="Q352" s="91" t="n">
        <v>1</v>
      </c>
    </row>
    <row r="353" s="91" customFormat="true" ht="12.75" hidden="false" customHeight="false" outlineLevel="0" collapsed="false">
      <c r="A353" s="91" t="s">
        <v>718</v>
      </c>
      <c r="B353" s="91" t="s">
        <v>1370</v>
      </c>
      <c r="C353" s="91" t="s">
        <v>731</v>
      </c>
      <c r="D353" s="91" t="s">
        <v>732</v>
      </c>
      <c r="E353" s="91" t="s">
        <v>200</v>
      </c>
      <c r="F353" s="91" t="n">
        <v>2019</v>
      </c>
      <c r="G353" s="91" t="n">
        <v>20000</v>
      </c>
      <c r="H353" s="91" t="n">
        <v>8526</v>
      </c>
      <c r="I353" s="91" t="s">
        <v>722</v>
      </c>
      <c r="J353" s="95" t="n">
        <v>45062</v>
      </c>
      <c r="K353" s="91" t="s">
        <v>484</v>
      </c>
      <c r="M353" s="91" t="s">
        <v>1369</v>
      </c>
      <c r="N353" s="91" t="s">
        <v>486</v>
      </c>
      <c r="O353" s="96" t="str">
        <f aca="false">CO_ORDINATES(N353)</f>
        <v>55.8725174,26.5482082</v>
      </c>
      <c r="Q353" s="91" t="n">
        <v>1</v>
      </c>
    </row>
    <row r="354" customFormat="false" ht="12.75" hidden="false" customHeight="false" outlineLevel="0" collapsed="false">
      <c r="A354" s="91" t="s">
        <v>718</v>
      </c>
      <c r="B354" s="91" t="s">
        <v>1371</v>
      </c>
      <c r="C354" s="91" t="s">
        <v>731</v>
      </c>
      <c r="D354" s="91" t="s">
        <v>732</v>
      </c>
      <c r="E354" s="91" t="s">
        <v>200</v>
      </c>
      <c r="F354" s="91" t="n">
        <v>2017</v>
      </c>
      <c r="G354" s="91" t="n">
        <v>18000</v>
      </c>
      <c r="H354" s="91" t="n">
        <v>8330</v>
      </c>
      <c r="I354" s="91" t="s">
        <v>722</v>
      </c>
      <c r="J354" s="95" t="n">
        <v>44888</v>
      </c>
      <c r="K354" s="91" t="s">
        <v>484</v>
      </c>
      <c r="L354" s="91" t="s">
        <v>1257</v>
      </c>
      <c r="M354" s="91" t="s">
        <v>1369</v>
      </c>
      <c r="N354" s="91" t="s">
        <v>486</v>
      </c>
      <c r="O354" s="96" t="str">
        <f aca="false">CO_ORDINATES(N354)</f>
        <v>55.8725174,26.5482082</v>
      </c>
      <c r="Q354" s="91" t="n">
        <v>1</v>
      </c>
    </row>
    <row r="355" s="91" customFormat="true" ht="12.75" hidden="false" customHeight="false" outlineLevel="0" collapsed="false">
      <c r="A355" s="91" t="s">
        <v>718</v>
      </c>
      <c r="B355" s="91" t="s">
        <v>1372</v>
      </c>
      <c r="C355" s="91" t="s">
        <v>720</v>
      </c>
      <c r="D355" s="91" t="s">
        <v>801</v>
      </c>
      <c r="E355" s="91" t="s">
        <v>348</v>
      </c>
      <c r="F355" s="91" t="n">
        <v>2013</v>
      </c>
      <c r="G355" s="91" t="n">
        <v>20500</v>
      </c>
      <c r="H355" s="91" t="n">
        <v>8660</v>
      </c>
      <c r="I355" s="91" t="s">
        <v>722</v>
      </c>
      <c r="J355" s="95" t="n">
        <v>44812</v>
      </c>
      <c r="K355" s="91" t="s">
        <v>487</v>
      </c>
      <c r="M355" s="91" t="s">
        <v>1373</v>
      </c>
      <c r="N355" s="91" t="s">
        <v>1374</v>
      </c>
      <c r="O355" s="98" t="s">
        <v>1375</v>
      </c>
      <c r="Q355" s="91" t="n">
        <v>1</v>
      </c>
    </row>
    <row r="356" s="91" customFormat="true" ht="12.75" hidden="false" customHeight="false" outlineLevel="0" collapsed="false">
      <c r="A356" s="91" t="s">
        <v>718</v>
      </c>
      <c r="B356" s="91" t="s">
        <v>1376</v>
      </c>
      <c r="C356" s="91" t="s">
        <v>720</v>
      </c>
      <c r="D356" s="91" t="s">
        <v>801</v>
      </c>
      <c r="E356" s="91" t="s">
        <v>348</v>
      </c>
      <c r="F356" s="91" t="n">
        <v>2013</v>
      </c>
      <c r="G356" s="91" t="n">
        <v>20500</v>
      </c>
      <c r="H356" s="91" t="n">
        <v>8660</v>
      </c>
      <c r="I356" s="91" t="s">
        <v>722</v>
      </c>
      <c r="J356" s="95" t="n">
        <v>44818</v>
      </c>
      <c r="K356" s="91" t="s">
        <v>487</v>
      </c>
      <c r="M356" s="91" t="s">
        <v>1373</v>
      </c>
      <c r="N356" s="91" t="s">
        <v>1374</v>
      </c>
      <c r="O356" s="98" t="s">
        <v>1375</v>
      </c>
      <c r="Q356" s="91" t="n">
        <v>1</v>
      </c>
    </row>
    <row r="357" s="91" customFormat="true" ht="12.75" hidden="false" customHeight="false" outlineLevel="0" collapsed="false">
      <c r="A357" s="91" t="s">
        <v>718</v>
      </c>
      <c r="B357" s="91" t="s">
        <v>1377</v>
      </c>
      <c r="C357" s="91" t="s">
        <v>720</v>
      </c>
      <c r="D357" s="91" t="s">
        <v>801</v>
      </c>
      <c r="E357" s="91" t="s">
        <v>348</v>
      </c>
      <c r="F357" s="91" t="n">
        <v>2013</v>
      </c>
      <c r="G357" s="91" t="n">
        <v>20500</v>
      </c>
      <c r="H357" s="91" t="n">
        <v>8660</v>
      </c>
      <c r="I357" s="91" t="s">
        <v>722</v>
      </c>
      <c r="J357" s="95" t="n">
        <v>44833</v>
      </c>
      <c r="K357" s="91" t="s">
        <v>487</v>
      </c>
      <c r="M357" s="91" t="s">
        <v>1373</v>
      </c>
      <c r="N357" s="91" t="s">
        <v>489</v>
      </c>
      <c r="O357" s="98" t="s">
        <v>1375</v>
      </c>
      <c r="Q357" s="91" t="n">
        <v>1</v>
      </c>
    </row>
    <row r="358" s="91" customFormat="true" ht="12.75" hidden="false" customHeight="false" outlineLevel="0" collapsed="false">
      <c r="A358" s="91" t="s">
        <v>718</v>
      </c>
      <c r="B358" s="91" t="s">
        <v>1378</v>
      </c>
      <c r="C358" s="91" t="s">
        <v>720</v>
      </c>
      <c r="D358" s="91" t="s">
        <v>721</v>
      </c>
      <c r="E358" s="91" t="s">
        <v>351</v>
      </c>
      <c r="F358" s="91" t="n">
        <v>2008</v>
      </c>
      <c r="G358" s="91" t="n">
        <v>20500</v>
      </c>
      <c r="H358" s="91" t="n">
        <v>8800</v>
      </c>
      <c r="I358" s="91" t="s">
        <v>722</v>
      </c>
      <c r="J358" s="95" t="n">
        <v>44820</v>
      </c>
      <c r="K358" s="91" t="s">
        <v>487</v>
      </c>
      <c r="M358" s="91" t="s">
        <v>1373</v>
      </c>
      <c r="N358" s="91" t="s">
        <v>489</v>
      </c>
      <c r="O358" s="98" t="s">
        <v>1375</v>
      </c>
      <c r="Q358" s="91" t="n">
        <v>1</v>
      </c>
    </row>
    <row r="359" s="91" customFormat="true" ht="12.75" hidden="false" customHeight="false" outlineLevel="0" collapsed="false">
      <c r="A359" s="91" t="s">
        <v>718</v>
      </c>
      <c r="B359" s="91" t="s">
        <v>1379</v>
      </c>
      <c r="C359" s="91" t="s">
        <v>720</v>
      </c>
      <c r="D359" s="91" t="s">
        <v>721</v>
      </c>
      <c r="E359" s="91" t="s">
        <v>351</v>
      </c>
      <c r="F359" s="91" t="n">
        <v>2009</v>
      </c>
      <c r="G359" s="91" t="n">
        <v>20500</v>
      </c>
      <c r="H359" s="91" t="n">
        <v>8820</v>
      </c>
      <c r="I359" s="91" t="s">
        <v>722</v>
      </c>
      <c r="J359" s="95" t="n">
        <v>45021</v>
      </c>
      <c r="K359" s="91" t="s">
        <v>487</v>
      </c>
      <c r="M359" s="91" t="s">
        <v>1373</v>
      </c>
      <c r="N359" s="91" t="s">
        <v>489</v>
      </c>
      <c r="O359" s="98" t="s">
        <v>1375</v>
      </c>
      <c r="Q359" s="91" t="n">
        <v>1</v>
      </c>
    </row>
    <row r="360" s="91" customFormat="true" ht="12.75" hidden="false" customHeight="false" outlineLevel="0" collapsed="false">
      <c r="A360" s="91" t="s">
        <v>718</v>
      </c>
      <c r="B360" s="91" t="s">
        <v>1380</v>
      </c>
      <c r="C360" s="91" t="s">
        <v>720</v>
      </c>
      <c r="D360" s="91" t="s">
        <v>801</v>
      </c>
      <c r="E360" s="91" t="s">
        <v>348</v>
      </c>
      <c r="F360" s="91" t="n">
        <v>2014</v>
      </c>
      <c r="G360" s="91" t="n">
        <v>19500</v>
      </c>
      <c r="H360" s="91" t="n">
        <v>8641</v>
      </c>
      <c r="I360" s="91" t="s">
        <v>722</v>
      </c>
      <c r="J360" s="95" t="n">
        <v>45072</v>
      </c>
      <c r="K360" s="91" t="s">
        <v>487</v>
      </c>
      <c r="M360" s="91" t="s">
        <v>1373</v>
      </c>
      <c r="N360" s="91" t="s">
        <v>489</v>
      </c>
      <c r="O360" s="98" t="s">
        <v>1375</v>
      </c>
      <c r="Q360" s="91" t="n">
        <v>1</v>
      </c>
    </row>
    <row r="361" s="91" customFormat="true" ht="12.75" hidden="false" customHeight="false" outlineLevel="0" collapsed="false">
      <c r="A361" s="91" t="s">
        <v>718</v>
      </c>
      <c r="B361" s="91" t="s">
        <v>1381</v>
      </c>
      <c r="C361" s="91" t="s">
        <v>720</v>
      </c>
      <c r="D361" s="91" t="s">
        <v>725</v>
      </c>
      <c r="E361" s="91" t="s">
        <v>281</v>
      </c>
      <c r="F361" s="91" t="n">
        <v>2014</v>
      </c>
      <c r="G361" s="91" t="n">
        <v>19500</v>
      </c>
      <c r="H361" s="91" t="n">
        <v>8921</v>
      </c>
      <c r="I361" s="91" t="s">
        <v>722</v>
      </c>
      <c r="J361" s="95" t="n">
        <v>44852</v>
      </c>
      <c r="K361" s="91" t="s">
        <v>487</v>
      </c>
      <c r="M361" s="91" t="s">
        <v>1373</v>
      </c>
      <c r="N361" s="91" t="s">
        <v>489</v>
      </c>
      <c r="O361" s="98" t="s">
        <v>1375</v>
      </c>
      <c r="Q361" s="91" t="n">
        <v>1</v>
      </c>
    </row>
    <row r="362" s="91" customFormat="true" ht="12.75" hidden="false" customHeight="false" outlineLevel="0" collapsed="false">
      <c r="A362" s="91" t="s">
        <v>718</v>
      </c>
      <c r="B362" s="91" t="s">
        <v>1382</v>
      </c>
      <c r="C362" s="91" t="s">
        <v>720</v>
      </c>
      <c r="D362" s="91" t="s">
        <v>725</v>
      </c>
      <c r="E362" s="91" t="s">
        <v>281</v>
      </c>
      <c r="F362" s="91" t="n">
        <v>2014</v>
      </c>
      <c r="G362" s="91" t="n">
        <v>19500</v>
      </c>
      <c r="H362" s="91" t="n">
        <v>8923</v>
      </c>
      <c r="I362" s="91" t="s">
        <v>722</v>
      </c>
      <c r="J362" s="95" t="n">
        <v>44896</v>
      </c>
      <c r="K362" s="91" t="s">
        <v>487</v>
      </c>
      <c r="M362" s="91" t="s">
        <v>1373</v>
      </c>
      <c r="N362" s="91" t="s">
        <v>1383</v>
      </c>
      <c r="O362" s="98" t="s">
        <v>1375</v>
      </c>
      <c r="Q362" s="91" t="n">
        <v>1</v>
      </c>
    </row>
    <row r="363" s="91" customFormat="true" ht="12.75" hidden="false" customHeight="false" outlineLevel="0" collapsed="false">
      <c r="A363" s="91" t="s">
        <v>718</v>
      </c>
      <c r="B363" s="91" t="s">
        <v>1384</v>
      </c>
      <c r="C363" s="91" t="s">
        <v>720</v>
      </c>
      <c r="D363" s="91" t="s">
        <v>738</v>
      </c>
      <c r="E363" s="91" t="s">
        <v>206</v>
      </c>
      <c r="F363" s="91" t="n">
        <v>2013</v>
      </c>
      <c r="G363" s="91" t="n">
        <v>18000</v>
      </c>
      <c r="H363" s="91" t="n">
        <v>8480</v>
      </c>
      <c r="I363" s="91" t="s">
        <v>722</v>
      </c>
      <c r="J363" s="95" t="n">
        <v>44994</v>
      </c>
      <c r="K363" s="91" t="s">
        <v>487</v>
      </c>
      <c r="M363" s="91" t="s">
        <v>1373</v>
      </c>
      <c r="N363" s="91" t="s">
        <v>489</v>
      </c>
      <c r="O363" s="98" t="s">
        <v>1375</v>
      </c>
      <c r="Q363" s="91" t="n">
        <v>1</v>
      </c>
    </row>
    <row r="364" s="91" customFormat="true" ht="12.75" hidden="false" customHeight="false" outlineLevel="0" collapsed="false">
      <c r="A364" s="91" t="s">
        <v>718</v>
      </c>
      <c r="B364" s="91" t="s">
        <v>1385</v>
      </c>
      <c r="C364" s="91" t="s">
        <v>720</v>
      </c>
      <c r="D364" s="91" t="s">
        <v>721</v>
      </c>
      <c r="E364" s="91" t="s">
        <v>351</v>
      </c>
      <c r="F364" s="91" t="n">
        <v>2012</v>
      </c>
      <c r="G364" s="91" t="n">
        <v>18000</v>
      </c>
      <c r="H364" s="91" t="n">
        <v>8649</v>
      </c>
      <c r="I364" s="91" t="s">
        <v>722</v>
      </c>
      <c r="J364" s="95" t="n">
        <v>44662</v>
      </c>
      <c r="K364" s="91" t="s">
        <v>487</v>
      </c>
      <c r="M364" s="91" t="s">
        <v>1373</v>
      </c>
      <c r="N364" s="91" t="s">
        <v>489</v>
      </c>
      <c r="O364" s="98" t="s">
        <v>1375</v>
      </c>
      <c r="Q364" s="91" t="n">
        <v>1</v>
      </c>
    </row>
    <row r="365" s="91" customFormat="true" ht="12.75" hidden="false" customHeight="false" outlineLevel="0" collapsed="false">
      <c r="A365" s="91" t="s">
        <v>718</v>
      </c>
      <c r="B365" s="91" t="s">
        <v>1386</v>
      </c>
      <c r="C365" s="91" t="s">
        <v>720</v>
      </c>
      <c r="D365" s="91" t="s">
        <v>721</v>
      </c>
      <c r="E365" s="91" t="s">
        <v>351</v>
      </c>
      <c r="F365" s="91" t="n">
        <v>2011</v>
      </c>
      <c r="G365" s="91" t="n">
        <v>18000</v>
      </c>
      <c r="H365" s="91" t="n">
        <v>8694</v>
      </c>
      <c r="I365" s="91" t="s">
        <v>722</v>
      </c>
      <c r="J365" s="95" t="n">
        <v>44713</v>
      </c>
      <c r="K365" s="91" t="s">
        <v>487</v>
      </c>
      <c r="M365" s="91" t="s">
        <v>1373</v>
      </c>
      <c r="N365" s="91" t="s">
        <v>489</v>
      </c>
      <c r="O365" s="98" t="s">
        <v>1375</v>
      </c>
      <c r="Q365" s="91" t="n">
        <v>1</v>
      </c>
    </row>
    <row r="366" s="91" customFormat="true" ht="12.75" hidden="false" customHeight="false" outlineLevel="0" collapsed="false">
      <c r="A366" s="91" t="s">
        <v>718</v>
      </c>
      <c r="B366" s="91" t="s">
        <v>1387</v>
      </c>
      <c r="C366" s="91" t="s">
        <v>720</v>
      </c>
      <c r="D366" s="91" t="s">
        <v>721</v>
      </c>
      <c r="E366" s="91" t="s">
        <v>351</v>
      </c>
      <c r="F366" s="91" t="n">
        <v>2012</v>
      </c>
      <c r="G366" s="91" t="n">
        <v>18000</v>
      </c>
      <c r="H366" s="91" t="n">
        <v>8594</v>
      </c>
      <c r="I366" s="91" t="s">
        <v>722</v>
      </c>
      <c r="J366" s="95" t="n">
        <v>44721</v>
      </c>
      <c r="K366" s="91" t="s">
        <v>487</v>
      </c>
      <c r="M366" s="91" t="s">
        <v>1373</v>
      </c>
      <c r="N366" s="91" t="s">
        <v>489</v>
      </c>
      <c r="O366" s="98" t="s">
        <v>1375</v>
      </c>
      <c r="Q366" s="91" t="n">
        <v>1</v>
      </c>
    </row>
    <row r="367" s="91" customFormat="true" ht="12.75" hidden="false" customHeight="false" outlineLevel="0" collapsed="false">
      <c r="A367" s="91" t="s">
        <v>718</v>
      </c>
      <c r="B367" s="91" t="s">
        <v>1388</v>
      </c>
      <c r="C367" s="91" t="s">
        <v>720</v>
      </c>
      <c r="D367" s="91" t="s">
        <v>721</v>
      </c>
      <c r="E367" s="91" t="s">
        <v>351</v>
      </c>
      <c r="F367" s="91" t="n">
        <v>2012</v>
      </c>
      <c r="G367" s="91" t="n">
        <v>18000</v>
      </c>
      <c r="H367" s="91" t="n">
        <v>8593</v>
      </c>
      <c r="I367" s="91" t="s">
        <v>722</v>
      </c>
      <c r="J367" s="95" t="n">
        <v>44727</v>
      </c>
      <c r="K367" s="91" t="s">
        <v>487</v>
      </c>
      <c r="M367" s="91" t="s">
        <v>1373</v>
      </c>
      <c r="N367" s="91" t="s">
        <v>489</v>
      </c>
      <c r="O367" s="98" t="s">
        <v>1375</v>
      </c>
      <c r="Q367" s="91" t="n">
        <v>1</v>
      </c>
    </row>
    <row r="368" s="91" customFormat="true" ht="12.75" hidden="false" customHeight="false" outlineLevel="0" collapsed="false">
      <c r="A368" s="91" t="s">
        <v>718</v>
      </c>
      <c r="B368" s="91" t="s">
        <v>1389</v>
      </c>
      <c r="C368" s="91" t="s">
        <v>720</v>
      </c>
      <c r="D368" s="91" t="s">
        <v>721</v>
      </c>
      <c r="E368" s="91" t="s">
        <v>351</v>
      </c>
      <c r="F368" s="91" t="n">
        <v>2012</v>
      </c>
      <c r="G368" s="91" t="n">
        <v>18000</v>
      </c>
      <c r="H368" s="91" t="n">
        <v>8669</v>
      </c>
      <c r="I368" s="91" t="s">
        <v>722</v>
      </c>
      <c r="J368" s="95" t="n">
        <v>44792</v>
      </c>
      <c r="K368" s="91" t="s">
        <v>487</v>
      </c>
      <c r="M368" s="91" t="s">
        <v>1373</v>
      </c>
      <c r="N368" s="91" t="s">
        <v>489</v>
      </c>
      <c r="O368" s="98" t="s">
        <v>1375</v>
      </c>
      <c r="Q368" s="91" t="n">
        <v>1</v>
      </c>
    </row>
    <row r="369" s="91" customFormat="true" ht="12.75" hidden="false" customHeight="false" outlineLevel="0" collapsed="false">
      <c r="A369" s="91" t="s">
        <v>718</v>
      </c>
      <c r="B369" s="91" t="s">
        <v>1390</v>
      </c>
      <c r="C369" s="91" t="s">
        <v>720</v>
      </c>
      <c r="D369" s="91" t="s">
        <v>721</v>
      </c>
      <c r="E369" s="91" t="s">
        <v>351</v>
      </c>
      <c r="F369" s="91" t="n">
        <v>2011</v>
      </c>
      <c r="G369" s="91" t="n">
        <v>18000</v>
      </c>
      <c r="H369" s="91" t="n">
        <v>8706</v>
      </c>
      <c r="I369" s="91" t="s">
        <v>722</v>
      </c>
      <c r="J369" s="95" t="n">
        <v>44811</v>
      </c>
      <c r="K369" s="91" t="s">
        <v>487</v>
      </c>
      <c r="M369" s="91" t="s">
        <v>1373</v>
      </c>
      <c r="N369" s="91" t="s">
        <v>489</v>
      </c>
      <c r="O369" s="98" t="s">
        <v>1375</v>
      </c>
      <c r="Q369" s="91" t="n">
        <v>1</v>
      </c>
    </row>
    <row r="370" s="91" customFormat="true" ht="12.75" hidden="false" customHeight="false" outlineLevel="0" collapsed="false">
      <c r="A370" s="91" t="s">
        <v>718</v>
      </c>
      <c r="B370" s="91" t="s">
        <v>1391</v>
      </c>
      <c r="C370" s="91" t="s">
        <v>720</v>
      </c>
      <c r="D370" s="91" t="s">
        <v>721</v>
      </c>
      <c r="E370" s="91" t="s">
        <v>351</v>
      </c>
      <c r="F370" s="91" t="n">
        <v>2012</v>
      </c>
      <c r="G370" s="91" t="n">
        <v>18000</v>
      </c>
      <c r="H370" s="91" t="n">
        <v>8673</v>
      </c>
      <c r="I370" s="91" t="s">
        <v>722</v>
      </c>
      <c r="J370" s="95" t="n">
        <v>44854</v>
      </c>
      <c r="K370" s="91" t="s">
        <v>487</v>
      </c>
      <c r="M370" s="91" t="s">
        <v>1373</v>
      </c>
      <c r="N370" s="91" t="s">
        <v>489</v>
      </c>
      <c r="O370" s="98" t="s">
        <v>1375</v>
      </c>
      <c r="Q370" s="91" t="n">
        <v>1</v>
      </c>
    </row>
    <row r="371" s="91" customFormat="true" ht="12.75" hidden="false" customHeight="false" outlineLevel="0" collapsed="false">
      <c r="A371" s="91" t="s">
        <v>718</v>
      </c>
      <c r="B371" s="91" t="s">
        <v>1392</v>
      </c>
      <c r="C371" s="91" t="s">
        <v>720</v>
      </c>
      <c r="D371" s="91" t="s">
        <v>721</v>
      </c>
      <c r="E371" s="91" t="s">
        <v>351</v>
      </c>
      <c r="F371" s="91" t="n">
        <v>2012</v>
      </c>
      <c r="G371" s="91" t="n">
        <v>18000</v>
      </c>
      <c r="H371" s="91" t="n">
        <v>8376</v>
      </c>
      <c r="I371" s="91" t="s">
        <v>722</v>
      </c>
      <c r="J371" s="95" t="n">
        <v>44874</v>
      </c>
      <c r="K371" s="91" t="s">
        <v>487</v>
      </c>
      <c r="M371" s="91" t="s">
        <v>1373</v>
      </c>
      <c r="N371" s="91" t="s">
        <v>489</v>
      </c>
      <c r="O371" s="98" t="s">
        <v>1375</v>
      </c>
      <c r="Q371" s="91" t="n">
        <v>1</v>
      </c>
    </row>
    <row r="372" s="91" customFormat="true" ht="12.75" hidden="false" customHeight="false" outlineLevel="0" collapsed="false">
      <c r="A372" s="91" t="s">
        <v>718</v>
      </c>
      <c r="B372" s="91" t="s">
        <v>1393</v>
      </c>
      <c r="C372" s="91" t="s">
        <v>720</v>
      </c>
      <c r="D372" s="91" t="s">
        <v>721</v>
      </c>
      <c r="E372" s="91" t="s">
        <v>351</v>
      </c>
      <c r="F372" s="91" t="n">
        <v>2011</v>
      </c>
      <c r="G372" s="91" t="n">
        <v>18000</v>
      </c>
      <c r="H372" s="91" t="n">
        <v>8559</v>
      </c>
      <c r="I372" s="91" t="s">
        <v>722</v>
      </c>
      <c r="J372" s="95" t="n">
        <v>44896</v>
      </c>
      <c r="K372" s="91" t="s">
        <v>487</v>
      </c>
      <c r="M372" s="91" t="s">
        <v>1373</v>
      </c>
      <c r="N372" s="91" t="s">
        <v>489</v>
      </c>
      <c r="O372" s="98" t="s">
        <v>1375</v>
      </c>
      <c r="Q372" s="91" t="n">
        <v>1</v>
      </c>
    </row>
    <row r="373" s="91" customFormat="true" ht="12.75" hidden="false" customHeight="false" outlineLevel="0" collapsed="false">
      <c r="A373" s="91" t="s">
        <v>718</v>
      </c>
      <c r="B373" s="91" t="s">
        <v>1394</v>
      </c>
      <c r="C373" s="91" t="s">
        <v>720</v>
      </c>
      <c r="D373" s="91" t="s">
        <v>721</v>
      </c>
      <c r="E373" s="91" t="s">
        <v>351</v>
      </c>
      <c r="F373" s="91" t="n">
        <v>2011</v>
      </c>
      <c r="G373" s="91" t="n">
        <v>18000</v>
      </c>
      <c r="H373" s="91" t="n">
        <v>8515</v>
      </c>
      <c r="I373" s="91" t="s">
        <v>722</v>
      </c>
      <c r="J373" s="95" t="n">
        <v>44965</v>
      </c>
      <c r="K373" s="91" t="s">
        <v>487</v>
      </c>
      <c r="M373" s="91" t="s">
        <v>1373</v>
      </c>
      <c r="N373" s="91" t="s">
        <v>489</v>
      </c>
      <c r="O373" s="98" t="s">
        <v>1375</v>
      </c>
      <c r="Q373" s="91" t="n">
        <v>1</v>
      </c>
    </row>
    <row r="374" s="91" customFormat="true" ht="12.75" hidden="false" customHeight="false" outlineLevel="0" collapsed="false">
      <c r="A374" s="91" t="s">
        <v>718</v>
      </c>
      <c r="B374" s="91" t="s">
        <v>1395</v>
      </c>
      <c r="C374" s="91" t="s">
        <v>720</v>
      </c>
      <c r="D374" s="91" t="s">
        <v>721</v>
      </c>
      <c r="E374" s="91" t="s">
        <v>351</v>
      </c>
      <c r="F374" s="91" t="n">
        <v>2012</v>
      </c>
      <c r="G374" s="91" t="n">
        <v>18000</v>
      </c>
      <c r="H374" s="91" t="n">
        <v>8662</v>
      </c>
      <c r="I374" s="91" t="s">
        <v>722</v>
      </c>
      <c r="J374" s="95" t="n">
        <v>44972</v>
      </c>
      <c r="K374" s="91" t="s">
        <v>487</v>
      </c>
      <c r="M374" s="91" t="s">
        <v>1373</v>
      </c>
      <c r="N374" s="91" t="s">
        <v>489</v>
      </c>
      <c r="O374" s="98" t="s">
        <v>1375</v>
      </c>
      <c r="Q374" s="91" t="n">
        <v>1</v>
      </c>
    </row>
    <row r="375" s="91" customFormat="true" ht="12.75" hidden="false" customHeight="false" outlineLevel="0" collapsed="false">
      <c r="A375" s="91" t="s">
        <v>718</v>
      </c>
      <c r="B375" s="91" t="s">
        <v>1396</v>
      </c>
      <c r="C375" s="91" t="s">
        <v>720</v>
      </c>
      <c r="D375" s="91" t="s">
        <v>721</v>
      </c>
      <c r="E375" s="91" t="s">
        <v>351</v>
      </c>
      <c r="F375" s="91" t="n">
        <v>2013</v>
      </c>
      <c r="G375" s="91" t="n">
        <v>18000</v>
      </c>
      <c r="H375" s="91" t="n">
        <v>8661</v>
      </c>
      <c r="I375" s="91" t="s">
        <v>722</v>
      </c>
      <c r="J375" s="95" t="n">
        <v>44987</v>
      </c>
      <c r="K375" s="91" t="s">
        <v>487</v>
      </c>
      <c r="M375" s="91" t="s">
        <v>1373</v>
      </c>
      <c r="N375" s="91" t="s">
        <v>489</v>
      </c>
      <c r="O375" s="98" t="s">
        <v>1375</v>
      </c>
      <c r="Q375" s="91" t="n">
        <v>1</v>
      </c>
    </row>
    <row r="376" s="91" customFormat="true" ht="12.75" hidden="false" customHeight="false" outlineLevel="0" collapsed="false">
      <c r="A376" s="91" t="s">
        <v>718</v>
      </c>
      <c r="B376" s="91" t="s">
        <v>1397</v>
      </c>
      <c r="C376" s="91" t="s">
        <v>720</v>
      </c>
      <c r="D376" s="91" t="s">
        <v>721</v>
      </c>
      <c r="E376" s="91" t="s">
        <v>351</v>
      </c>
      <c r="F376" s="91" t="n">
        <v>2012</v>
      </c>
      <c r="G376" s="91" t="n">
        <v>18000</v>
      </c>
      <c r="H376" s="91" t="n">
        <v>8608</v>
      </c>
      <c r="I376" s="91" t="s">
        <v>722</v>
      </c>
      <c r="J376" s="95" t="n">
        <v>45006</v>
      </c>
      <c r="K376" s="91" t="s">
        <v>487</v>
      </c>
      <c r="M376" s="91" t="s">
        <v>1373</v>
      </c>
      <c r="N376" s="91" t="s">
        <v>489</v>
      </c>
      <c r="O376" s="98" t="s">
        <v>1375</v>
      </c>
      <c r="Q376" s="91" t="n">
        <v>1</v>
      </c>
    </row>
    <row r="377" s="91" customFormat="true" ht="12.75" hidden="false" customHeight="false" outlineLevel="0" collapsed="false">
      <c r="A377" s="91" t="s">
        <v>718</v>
      </c>
      <c r="B377" s="91" t="s">
        <v>1398</v>
      </c>
      <c r="C377" s="91" t="s">
        <v>720</v>
      </c>
      <c r="D377" s="91" t="s">
        <v>725</v>
      </c>
      <c r="E377" s="91" t="s">
        <v>281</v>
      </c>
      <c r="F377" s="91" t="n">
        <v>2016</v>
      </c>
      <c r="G377" s="91" t="n">
        <v>18000</v>
      </c>
      <c r="H377" s="91" t="n">
        <v>8794</v>
      </c>
      <c r="I377" s="91" t="s">
        <v>722</v>
      </c>
      <c r="J377" s="95" t="n">
        <v>44817</v>
      </c>
      <c r="K377" s="91" t="s">
        <v>487</v>
      </c>
      <c r="M377" s="91" t="s">
        <v>1373</v>
      </c>
      <c r="N377" s="91" t="s">
        <v>489</v>
      </c>
      <c r="O377" s="98" t="s">
        <v>1375</v>
      </c>
      <c r="Q377" s="91" t="n">
        <v>1</v>
      </c>
    </row>
    <row r="378" customFormat="false" ht="12.75" hidden="false" customHeight="false" outlineLevel="0" collapsed="false">
      <c r="A378" s="91" t="s">
        <v>718</v>
      </c>
      <c r="B378" s="91" t="s">
        <v>1399</v>
      </c>
      <c r="C378" s="91" t="s">
        <v>720</v>
      </c>
      <c r="D378" s="91" t="s">
        <v>725</v>
      </c>
      <c r="E378" s="91" t="s">
        <v>281</v>
      </c>
      <c r="F378" s="91" t="n">
        <v>2015</v>
      </c>
      <c r="G378" s="91" t="n">
        <v>18000</v>
      </c>
      <c r="H378" s="91" t="n">
        <v>8779</v>
      </c>
      <c r="I378" s="91" t="s">
        <v>722</v>
      </c>
      <c r="J378" s="95" t="n">
        <v>44846</v>
      </c>
      <c r="K378" s="91" t="s">
        <v>487</v>
      </c>
      <c r="L378" s="91" t="s">
        <v>1400</v>
      </c>
      <c r="M378" s="91" t="s">
        <v>1373</v>
      </c>
      <c r="N378" s="91" t="s">
        <v>489</v>
      </c>
      <c r="O378" s="98" t="s">
        <v>1375</v>
      </c>
      <c r="Q378" s="91" t="n">
        <v>1</v>
      </c>
    </row>
    <row r="379" s="91" customFormat="true" ht="12.75" hidden="false" customHeight="false" outlineLevel="0" collapsed="false">
      <c r="A379" s="91" t="s">
        <v>718</v>
      </c>
      <c r="B379" s="91" t="s">
        <v>1401</v>
      </c>
      <c r="C379" s="91" t="s">
        <v>720</v>
      </c>
      <c r="D379" s="91" t="s">
        <v>1237</v>
      </c>
      <c r="E379" s="91" t="s">
        <v>1238</v>
      </c>
      <c r="F379" s="91" t="n">
        <v>2017</v>
      </c>
      <c r="G379" s="91" t="n">
        <v>18000</v>
      </c>
      <c r="H379" s="91" t="n">
        <v>8703</v>
      </c>
      <c r="I379" s="91" t="s">
        <v>722</v>
      </c>
      <c r="J379" s="95" t="n">
        <v>44908</v>
      </c>
      <c r="K379" s="91" t="s">
        <v>490</v>
      </c>
      <c r="M379" s="91" t="s">
        <v>1402</v>
      </c>
      <c r="N379" s="91" t="s">
        <v>492</v>
      </c>
      <c r="O379" s="96" t="str">
        <f aca="false">CO_ORDINATES(N379)</f>
        <v>55.8633683,26.5865554</v>
      </c>
      <c r="Q379" s="91" t="n">
        <v>1</v>
      </c>
    </row>
    <row r="380" customFormat="false" ht="12.75" hidden="false" customHeight="false" outlineLevel="0" collapsed="false">
      <c r="A380" s="91" t="s">
        <v>718</v>
      </c>
      <c r="B380" s="91" t="s">
        <v>1403</v>
      </c>
      <c r="C380" s="91" t="s">
        <v>727</v>
      </c>
      <c r="D380" s="91" t="s">
        <v>1259</v>
      </c>
      <c r="E380" s="91" t="s">
        <v>430</v>
      </c>
      <c r="F380" s="91" t="n">
        <v>2022</v>
      </c>
      <c r="G380" s="91" t="n">
        <v>18000</v>
      </c>
      <c r="H380" s="91" t="n">
        <v>8867</v>
      </c>
      <c r="I380" s="91" t="s">
        <v>722</v>
      </c>
      <c r="J380" s="95" t="n">
        <v>44930</v>
      </c>
      <c r="K380" s="91" t="s">
        <v>490</v>
      </c>
      <c r="L380" s="91" t="s">
        <v>491</v>
      </c>
      <c r="M380" s="91" t="s">
        <v>1402</v>
      </c>
      <c r="N380" s="91" t="s">
        <v>492</v>
      </c>
      <c r="O380" s="96" t="str">
        <f aca="false">CO_ORDINATES(N380)</f>
        <v>55.8633683,26.5865554</v>
      </c>
      <c r="Q380" s="91" t="n">
        <v>1</v>
      </c>
    </row>
    <row r="381" s="91" customFormat="true" ht="12.75" hidden="false" customHeight="false" outlineLevel="0" collapsed="false">
      <c r="A381" s="91" t="s">
        <v>718</v>
      </c>
      <c r="B381" s="91" t="s">
        <v>1404</v>
      </c>
      <c r="C381" s="91" t="s">
        <v>727</v>
      </c>
      <c r="D381" s="91" t="s">
        <v>782</v>
      </c>
      <c r="E381" s="91" t="s">
        <v>783</v>
      </c>
      <c r="F381" s="91" t="n">
        <v>2014</v>
      </c>
      <c r="G381" s="91" t="n">
        <v>18600</v>
      </c>
      <c r="H381" s="91" t="n">
        <v>8701</v>
      </c>
      <c r="I381" s="91" t="s">
        <v>722</v>
      </c>
      <c r="J381" s="95" t="n">
        <v>44903</v>
      </c>
      <c r="K381" s="91" t="s">
        <v>493</v>
      </c>
      <c r="M381" s="91" t="s">
        <v>1405</v>
      </c>
      <c r="N381" s="91" t="s">
        <v>495</v>
      </c>
      <c r="O381" s="96" t="str">
        <f aca="false">CO_ORDINATES(N381)</f>
        <v>55.8344348,26.4883515</v>
      </c>
      <c r="Q381" s="91" t="n">
        <v>1</v>
      </c>
    </row>
    <row r="382" s="91" customFormat="true" ht="12.75" hidden="false" customHeight="false" outlineLevel="0" collapsed="false">
      <c r="A382" s="91" t="s">
        <v>718</v>
      </c>
      <c r="B382" s="91" t="s">
        <v>1406</v>
      </c>
      <c r="C382" s="91" t="s">
        <v>727</v>
      </c>
      <c r="D382" s="91" t="s">
        <v>782</v>
      </c>
      <c r="E382" s="91" t="s">
        <v>783</v>
      </c>
      <c r="F382" s="91" t="n">
        <v>2014</v>
      </c>
      <c r="G382" s="91" t="n">
        <v>18600</v>
      </c>
      <c r="H382" s="91" t="n">
        <v>8738</v>
      </c>
      <c r="I382" s="91" t="s">
        <v>722</v>
      </c>
      <c r="J382" s="95" t="n">
        <v>44908</v>
      </c>
      <c r="K382" s="91" t="s">
        <v>493</v>
      </c>
      <c r="M382" s="91" t="s">
        <v>1405</v>
      </c>
      <c r="N382" s="91" t="s">
        <v>495</v>
      </c>
      <c r="O382" s="96" t="str">
        <f aca="false">CO_ORDINATES(N382)</f>
        <v>55.8344348,26.4883515</v>
      </c>
      <c r="Q382" s="91" t="n">
        <v>1</v>
      </c>
    </row>
    <row r="383" s="91" customFormat="true" ht="12.75" hidden="false" customHeight="false" outlineLevel="0" collapsed="false">
      <c r="A383" s="91" t="s">
        <v>718</v>
      </c>
      <c r="B383" s="91" t="s">
        <v>1407</v>
      </c>
      <c r="C383" s="91" t="s">
        <v>727</v>
      </c>
      <c r="D383" s="91" t="s">
        <v>782</v>
      </c>
      <c r="E383" s="91" t="s">
        <v>783</v>
      </c>
      <c r="F383" s="91" t="n">
        <v>2014</v>
      </c>
      <c r="G383" s="91" t="n">
        <v>18600</v>
      </c>
      <c r="H383" s="91" t="n">
        <v>8701</v>
      </c>
      <c r="I383" s="91" t="s">
        <v>722</v>
      </c>
      <c r="J383" s="95" t="n">
        <v>44910</v>
      </c>
      <c r="K383" s="91" t="s">
        <v>493</v>
      </c>
      <c r="M383" s="91" t="s">
        <v>1405</v>
      </c>
      <c r="N383" s="91" t="s">
        <v>495</v>
      </c>
      <c r="O383" s="96" t="str">
        <f aca="false">CO_ORDINATES(N383)</f>
        <v>55.8344348,26.4883515</v>
      </c>
      <c r="Q383" s="91" t="n">
        <v>1</v>
      </c>
    </row>
    <row r="384" s="91" customFormat="true" ht="12.75" hidden="false" customHeight="false" outlineLevel="0" collapsed="false">
      <c r="A384" s="91" t="s">
        <v>718</v>
      </c>
      <c r="B384" s="91" t="s">
        <v>1408</v>
      </c>
      <c r="C384" s="91" t="s">
        <v>727</v>
      </c>
      <c r="D384" s="91" t="s">
        <v>782</v>
      </c>
      <c r="E384" s="91" t="s">
        <v>783</v>
      </c>
      <c r="F384" s="91" t="n">
        <v>2014</v>
      </c>
      <c r="G384" s="91" t="n">
        <v>18600</v>
      </c>
      <c r="H384" s="91" t="n">
        <v>8701</v>
      </c>
      <c r="I384" s="91" t="s">
        <v>722</v>
      </c>
      <c r="J384" s="95" t="n">
        <v>44965</v>
      </c>
      <c r="K384" s="91" t="s">
        <v>493</v>
      </c>
      <c r="M384" s="91" t="s">
        <v>1405</v>
      </c>
      <c r="N384" s="91" t="s">
        <v>495</v>
      </c>
      <c r="O384" s="96" t="str">
        <f aca="false">CO_ORDINATES(N384)</f>
        <v>55.8344348,26.4883515</v>
      </c>
      <c r="Q384" s="91" t="n">
        <v>1</v>
      </c>
    </row>
    <row r="385" s="91" customFormat="true" ht="12.75" hidden="false" customHeight="false" outlineLevel="0" collapsed="false">
      <c r="A385" s="91" t="s">
        <v>718</v>
      </c>
      <c r="B385" s="91" t="s">
        <v>1409</v>
      </c>
      <c r="C385" s="91" t="s">
        <v>727</v>
      </c>
      <c r="D385" s="91" t="s">
        <v>786</v>
      </c>
      <c r="E385" s="91" t="s">
        <v>264</v>
      </c>
      <c r="F385" s="91" t="n">
        <v>2011</v>
      </c>
      <c r="G385" s="91" t="n">
        <v>18600</v>
      </c>
      <c r="H385" s="91" t="n">
        <v>8550</v>
      </c>
      <c r="I385" s="91" t="s">
        <v>722</v>
      </c>
      <c r="J385" s="95" t="n">
        <v>44813</v>
      </c>
      <c r="K385" s="91" t="s">
        <v>493</v>
      </c>
      <c r="M385" s="91" t="s">
        <v>1405</v>
      </c>
      <c r="N385" s="91" t="s">
        <v>495</v>
      </c>
      <c r="O385" s="96" t="str">
        <f aca="false">CO_ORDINATES(N385)</f>
        <v>55.8344348,26.4883515</v>
      </c>
      <c r="Q385" s="91" t="n">
        <v>1</v>
      </c>
    </row>
    <row r="386" s="91" customFormat="true" ht="12.75" hidden="false" customHeight="false" outlineLevel="0" collapsed="false">
      <c r="A386" s="91" t="s">
        <v>718</v>
      </c>
      <c r="B386" s="91" t="s">
        <v>1410</v>
      </c>
      <c r="C386" s="91" t="s">
        <v>731</v>
      </c>
      <c r="D386" s="91" t="s">
        <v>732</v>
      </c>
      <c r="E386" s="91" t="s">
        <v>200</v>
      </c>
      <c r="F386" s="91" t="n">
        <v>2018</v>
      </c>
      <c r="G386" s="91" t="n">
        <v>18000</v>
      </c>
      <c r="H386" s="91" t="n">
        <v>8646</v>
      </c>
      <c r="I386" s="91" t="s">
        <v>868</v>
      </c>
      <c r="J386" s="95" t="n">
        <v>44827</v>
      </c>
      <c r="K386" s="91" t="s">
        <v>493</v>
      </c>
      <c r="M386" s="91" t="s">
        <v>1405</v>
      </c>
      <c r="N386" s="91" t="s">
        <v>1411</v>
      </c>
      <c r="O386" s="96" t="str">
        <f aca="false">CO_ORDINATES(N386)</f>
        <v>55.8344348,26.4883515</v>
      </c>
      <c r="Q386" s="91" t="n">
        <v>1</v>
      </c>
    </row>
    <row r="387" s="91" customFormat="true" ht="12.75" hidden="false" customHeight="false" outlineLevel="0" collapsed="false">
      <c r="A387" s="91" t="s">
        <v>718</v>
      </c>
      <c r="B387" s="91" t="s">
        <v>1412</v>
      </c>
      <c r="C387" s="91" t="s">
        <v>748</v>
      </c>
      <c r="D387" s="91" t="s">
        <v>749</v>
      </c>
      <c r="E387" s="91" t="s">
        <v>354</v>
      </c>
      <c r="F387" s="91" t="n">
        <v>2016</v>
      </c>
      <c r="G387" s="91" t="n">
        <v>18000</v>
      </c>
      <c r="H387" s="91" t="n">
        <v>8497</v>
      </c>
      <c r="I387" s="91" t="s">
        <v>722</v>
      </c>
      <c r="J387" s="95" t="n">
        <v>44763</v>
      </c>
      <c r="K387" s="91" t="s">
        <v>493</v>
      </c>
      <c r="M387" s="91" t="s">
        <v>1405</v>
      </c>
      <c r="N387" s="91" t="s">
        <v>495</v>
      </c>
      <c r="O387" s="96" t="str">
        <f aca="false">CO_ORDINATES(N387)</f>
        <v>55.8344348,26.4883515</v>
      </c>
      <c r="Q387" s="91" t="n">
        <v>1</v>
      </c>
    </row>
    <row r="388" s="91" customFormat="true" ht="12.75" hidden="false" customHeight="false" outlineLevel="0" collapsed="false">
      <c r="A388" s="91" t="s">
        <v>718</v>
      </c>
      <c r="B388" s="91" t="s">
        <v>1413</v>
      </c>
      <c r="C388" s="91" t="s">
        <v>748</v>
      </c>
      <c r="D388" s="91" t="s">
        <v>749</v>
      </c>
      <c r="E388" s="91" t="s">
        <v>354</v>
      </c>
      <c r="F388" s="91" t="n">
        <v>2016</v>
      </c>
      <c r="G388" s="91" t="n">
        <v>18000</v>
      </c>
      <c r="H388" s="91" t="n">
        <v>8497</v>
      </c>
      <c r="I388" s="91" t="s">
        <v>722</v>
      </c>
      <c r="J388" s="95" t="n">
        <v>44791</v>
      </c>
      <c r="K388" s="91" t="s">
        <v>493</v>
      </c>
      <c r="M388" s="91" t="s">
        <v>1405</v>
      </c>
      <c r="N388" s="91" t="s">
        <v>495</v>
      </c>
      <c r="O388" s="96" t="str">
        <f aca="false">CO_ORDINATES(N388)</f>
        <v>55.8344348,26.4883515</v>
      </c>
      <c r="Q388" s="91" t="n">
        <v>1</v>
      </c>
    </row>
    <row r="389" customFormat="false" ht="12.75" hidden="false" customHeight="false" outlineLevel="0" collapsed="false">
      <c r="A389" s="91" t="s">
        <v>718</v>
      </c>
      <c r="B389" s="91" t="s">
        <v>1414</v>
      </c>
      <c r="C389" s="91" t="s">
        <v>748</v>
      </c>
      <c r="D389" s="91" t="s">
        <v>749</v>
      </c>
      <c r="E389" s="91" t="s">
        <v>354</v>
      </c>
      <c r="F389" s="91" t="n">
        <v>2016</v>
      </c>
      <c r="G389" s="91" t="n">
        <v>18000</v>
      </c>
      <c r="H389" s="91" t="n">
        <v>8481</v>
      </c>
      <c r="I389" s="91" t="s">
        <v>722</v>
      </c>
      <c r="J389" s="95" t="n">
        <v>44798</v>
      </c>
      <c r="K389" s="91" t="s">
        <v>493</v>
      </c>
      <c r="L389" s="91" t="s">
        <v>1415</v>
      </c>
      <c r="M389" s="91" t="s">
        <v>1405</v>
      </c>
      <c r="N389" s="91" t="s">
        <v>495</v>
      </c>
      <c r="O389" s="96" t="str">
        <f aca="false">CO_ORDINATES(N389)</f>
        <v>55.8344348,26.4883515</v>
      </c>
      <c r="Q389" s="91" t="n">
        <v>1</v>
      </c>
    </row>
    <row r="390" s="91" customFormat="true" ht="12.75" hidden="false" customHeight="false" outlineLevel="0" collapsed="false">
      <c r="A390" s="91" t="s">
        <v>718</v>
      </c>
      <c r="B390" s="91" t="s">
        <v>1416</v>
      </c>
      <c r="C390" s="91" t="s">
        <v>771</v>
      </c>
      <c r="D390" s="91" t="s">
        <v>898</v>
      </c>
      <c r="E390" s="91" t="s">
        <v>284</v>
      </c>
      <c r="F390" s="91" t="n">
        <v>2007</v>
      </c>
      <c r="G390" s="91" t="n">
        <v>18000</v>
      </c>
      <c r="H390" s="91" t="n">
        <v>7400</v>
      </c>
      <c r="I390" s="91" t="s">
        <v>722</v>
      </c>
      <c r="J390" s="95" t="n">
        <v>44834</v>
      </c>
      <c r="K390" s="91" t="s">
        <v>496</v>
      </c>
      <c r="M390" s="91" t="s">
        <v>1417</v>
      </c>
      <c r="N390" s="91" t="s">
        <v>498</v>
      </c>
      <c r="O390" s="98" t="e">
        <f aca="false">CO_ORDINATES(N390)</f>
        <v>#VALUE!</v>
      </c>
      <c r="Q390" s="91" t="n">
        <v>1</v>
      </c>
    </row>
    <row r="391" customFormat="false" ht="12.75" hidden="false" customHeight="false" outlineLevel="0" collapsed="false">
      <c r="A391" s="91" t="s">
        <v>718</v>
      </c>
      <c r="B391" s="91" t="s">
        <v>1418</v>
      </c>
      <c r="C391" s="91" t="s">
        <v>771</v>
      </c>
      <c r="D391" s="91" t="s">
        <v>898</v>
      </c>
      <c r="E391" s="91" t="s">
        <v>284</v>
      </c>
      <c r="F391" s="91" t="n">
        <v>2007</v>
      </c>
      <c r="G391" s="91" t="n">
        <v>18000</v>
      </c>
      <c r="H391" s="91" t="n">
        <v>7335</v>
      </c>
      <c r="I391" s="91" t="s">
        <v>722</v>
      </c>
      <c r="J391" s="95" t="n">
        <v>44677</v>
      </c>
      <c r="K391" s="91" t="s">
        <v>496</v>
      </c>
      <c r="L391" s="91" t="s">
        <v>497</v>
      </c>
      <c r="M391" s="91" t="s">
        <v>1417</v>
      </c>
      <c r="N391" s="91" t="s">
        <v>1419</v>
      </c>
      <c r="O391" s="98" t="e">
        <f aca="false">CO_ORDINATES(N391)</f>
        <v>#VALUE!</v>
      </c>
      <c r="Q391" s="91" t="n">
        <v>1</v>
      </c>
    </row>
    <row r="392" customFormat="false" ht="12.75" hidden="false" customHeight="false" outlineLevel="0" collapsed="false">
      <c r="A392" s="91" t="s">
        <v>718</v>
      </c>
      <c r="B392" s="91" t="s">
        <v>1420</v>
      </c>
      <c r="C392" s="91" t="s">
        <v>720</v>
      </c>
      <c r="D392" s="91" t="s">
        <v>725</v>
      </c>
      <c r="E392" s="91" t="s">
        <v>281</v>
      </c>
      <c r="F392" s="91" t="n">
        <v>2015</v>
      </c>
      <c r="G392" s="91" t="n">
        <v>18000</v>
      </c>
      <c r="H392" s="91" t="n">
        <v>8307</v>
      </c>
      <c r="I392" s="91" t="s">
        <v>722</v>
      </c>
      <c r="J392" s="95" t="n">
        <v>44938</v>
      </c>
      <c r="K392" s="91" t="s">
        <v>499</v>
      </c>
      <c r="L392" s="91" t="s">
        <v>281</v>
      </c>
      <c r="M392" s="91" t="s">
        <v>1421</v>
      </c>
      <c r="N392" s="91" t="s">
        <v>500</v>
      </c>
      <c r="O392" s="98" t="e">
        <f aca="false">CO_ORDINATES(N392)</f>
        <v>#VALUE!</v>
      </c>
      <c r="Q392" s="91" t="n">
        <v>1</v>
      </c>
    </row>
    <row r="393" s="91" customFormat="true" ht="12.75" hidden="false" customHeight="false" outlineLevel="0" collapsed="false">
      <c r="A393" s="91" t="s">
        <v>718</v>
      </c>
      <c r="B393" s="91" t="s">
        <v>1422</v>
      </c>
      <c r="C393" s="91" t="s">
        <v>727</v>
      </c>
      <c r="D393" s="91" t="s">
        <v>920</v>
      </c>
      <c r="E393" s="91" t="s">
        <v>298</v>
      </c>
      <c r="F393" s="91" t="n">
        <v>2011</v>
      </c>
      <c r="G393" s="91" t="n">
        <v>19000</v>
      </c>
      <c r="H393" s="91" t="n">
        <v>8400</v>
      </c>
      <c r="I393" s="91" t="s">
        <v>722</v>
      </c>
      <c r="J393" s="95" t="n">
        <v>45070</v>
      </c>
      <c r="K393" s="91" t="s">
        <v>501</v>
      </c>
      <c r="M393" s="91" t="s">
        <v>1423</v>
      </c>
      <c r="N393" s="91" t="s">
        <v>503</v>
      </c>
      <c r="O393" s="96" t="str">
        <f aca="false">CO_ORDINATES(N393)</f>
        <v>55.87997385,26.538633191778324</v>
      </c>
      <c r="Q393" s="91" t="n">
        <v>1</v>
      </c>
    </row>
    <row r="394" customFormat="false" ht="12.75" hidden="false" customHeight="false" outlineLevel="0" collapsed="false">
      <c r="A394" s="91" t="s">
        <v>718</v>
      </c>
      <c r="B394" s="91" t="s">
        <v>1424</v>
      </c>
      <c r="C394" s="91" t="s">
        <v>727</v>
      </c>
      <c r="D394" s="91" t="s">
        <v>827</v>
      </c>
      <c r="E394" s="91" t="s">
        <v>247</v>
      </c>
      <c r="F394" s="91" t="n">
        <v>2013</v>
      </c>
      <c r="G394" s="91" t="n">
        <v>19000</v>
      </c>
      <c r="H394" s="91" t="n">
        <v>7816</v>
      </c>
      <c r="I394" s="91" t="s">
        <v>722</v>
      </c>
      <c r="J394" s="95" t="n">
        <v>44855</v>
      </c>
      <c r="K394" s="91" t="s">
        <v>501</v>
      </c>
      <c r="L394" s="91" t="s">
        <v>502</v>
      </c>
      <c r="M394" s="91" t="s">
        <v>1423</v>
      </c>
      <c r="N394" s="91" t="s">
        <v>503</v>
      </c>
      <c r="O394" s="96" t="str">
        <f aca="false">CO_ORDINATES(N394)</f>
        <v>55.87997385,26.538633191778324</v>
      </c>
      <c r="Q394" s="91" t="n">
        <v>1</v>
      </c>
    </row>
    <row r="395" s="91" customFormat="true" ht="12.75" hidden="false" customHeight="false" outlineLevel="0" collapsed="false">
      <c r="A395" s="91" t="s">
        <v>718</v>
      </c>
      <c r="B395" s="91" t="s">
        <v>1425</v>
      </c>
      <c r="C395" s="91" t="s">
        <v>720</v>
      </c>
      <c r="D395" s="91" t="s">
        <v>721</v>
      </c>
      <c r="E395" s="91" t="s">
        <v>351</v>
      </c>
      <c r="F395" s="91" t="n">
        <v>2008</v>
      </c>
      <c r="G395" s="91" t="n">
        <v>20500</v>
      </c>
      <c r="H395" s="91" t="n">
        <v>7800</v>
      </c>
      <c r="I395" s="91" t="s">
        <v>722</v>
      </c>
      <c r="J395" s="95" t="n">
        <v>44785</v>
      </c>
      <c r="K395" s="91" t="s">
        <v>504</v>
      </c>
      <c r="M395" s="91" t="s">
        <v>1426</v>
      </c>
      <c r="N395" s="91" t="s">
        <v>506</v>
      </c>
      <c r="O395" s="98" t="s">
        <v>1427</v>
      </c>
      <c r="Q395" s="91" t="n">
        <v>1</v>
      </c>
    </row>
    <row r="396" s="91" customFormat="true" ht="12.75" hidden="false" customHeight="false" outlineLevel="0" collapsed="false">
      <c r="A396" s="91" t="s">
        <v>718</v>
      </c>
      <c r="B396" s="91" t="s">
        <v>1428</v>
      </c>
      <c r="C396" s="91" t="s">
        <v>720</v>
      </c>
      <c r="D396" s="91" t="s">
        <v>801</v>
      </c>
      <c r="E396" s="91" t="s">
        <v>348</v>
      </c>
      <c r="F396" s="91" t="n">
        <v>2013</v>
      </c>
      <c r="G396" s="91" t="n">
        <v>19500</v>
      </c>
      <c r="H396" s="91" t="n">
        <v>8613</v>
      </c>
      <c r="I396" s="91" t="s">
        <v>722</v>
      </c>
      <c r="J396" s="95" t="n">
        <v>44936</v>
      </c>
      <c r="K396" s="91" t="s">
        <v>504</v>
      </c>
      <c r="M396" s="91" t="s">
        <v>1426</v>
      </c>
      <c r="N396" s="91" t="s">
        <v>1429</v>
      </c>
      <c r="O396" s="98" t="s">
        <v>1427</v>
      </c>
      <c r="Q396" s="91" t="n">
        <v>1</v>
      </c>
    </row>
    <row r="397" s="91" customFormat="true" ht="12.75" hidden="false" customHeight="false" outlineLevel="0" collapsed="false">
      <c r="A397" s="91" t="s">
        <v>718</v>
      </c>
      <c r="B397" s="91" t="s">
        <v>1430</v>
      </c>
      <c r="C397" s="91" t="s">
        <v>720</v>
      </c>
      <c r="D397" s="91" t="s">
        <v>725</v>
      </c>
      <c r="E397" s="91" t="s">
        <v>281</v>
      </c>
      <c r="F397" s="91" t="n">
        <v>2014</v>
      </c>
      <c r="G397" s="91" t="n">
        <v>19500</v>
      </c>
      <c r="H397" s="91" t="n">
        <v>8916</v>
      </c>
      <c r="I397" s="91" t="s">
        <v>722</v>
      </c>
      <c r="J397" s="95" t="n">
        <v>44945</v>
      </c>
      <c r="K397" s="91" t="s">
        <v>504</v>
      </c>
      <c r="M397" s="91" t="s">
        <v>1426</v>
      </c>
      <c r="N397" s="91" t="s">
        <v>1429</v>
      </c>
      <c r="O397" s="98" t="s">
        <v>1427</v>
      </c>
      <c r="Q397" s="91" t="n">
        <v>1</v>
      </c>
    </row>
    <row r="398" s="91" customFormat="true" ht="12.75" hidden="false" customHeight="false" outlineLevel="0" collapsed="false">
      <c r="A398" s="91" t="s">
        <v>718</v>
      </c>
      <c r="B398" s="91" t="s">
        <v>1431</v>
      </c>
      <c r="C398" s="91" t="s">
        <v>720</v>
      </c>
      <c r="D398" s="91" t="s">
        <v>721</v>
      </c>
      <c r="E398" s="91" t="s">
        <v>351</v>
      </c>
      <c r="F398" s="91" t="n">
        <v>2011</v>
      </c>
      <c r="G398" s="91" t="n">
        <v>18000</v>
      </c>
      <c r="H398" s="91" t="n">
        <v>7800</v>
      </c>
      <c r="I398" s="91" t="s">
        <v>722</v>
      </c>
      <c r="J398" s="95" t="n">
        <v>44734</v>
      </c>
      <c r="K398" s="91" t="s">
        <v>504</v>
      </c>
      <c r="M398" s="91" t="s">
        <v>1426</v>
      </c>
      <c r="N398" s="91" t="s">
        <v>506</v>
      </c>
      <c r="O398" s="98" t="s">
        <v>1427</v>
      </c>
      <c r="Q398" s="91" t="n">
        <v>1</v>
      </c>
    </row>
    <row r="399" s="91" customFormat="true" ht="12.75" hidden="false" customHeight="false" outlineLevel="0" collapsed="false">
      <c r="A399" s="91" t="s">
        <v>718</v>
      </c>
      <c r="B399" s="91" t="s">
        <v>1432</v>
      </c>
      <c r="C399" s="91" t="s">
        <v>720</v>
      </c>
      <c r="D399" s="91" t="s">
        <v>721</v>
      </c>
      <c r="E399" s="91" t="s">
        <v>351</v>
      </c>
      <c r="F399" s="91" t="n">
        <v>2011</v>
      </c>
      <c r="G399" s="91" t="n">
        <v>18000</v>
      </c>
      <c r="H399" s="91" t="n">
        <v>7800</v>
      </c>
      <c r="I399" s="91" t="s">
        <v>722</v>
      </c>
      <c r="J399" s="95" t="n">
        <v>44838</v>
      </c>
      <c r="K399" s="91" t="s">
        <v>504</v>
      </c>
      <c r="M399" s="91" t="s">
        <v>1426</v>
      </c>
      <c r="N399" s="91" t="s">
        <v>506</v>
      </c>
      <c r="O399" s="98" t="s">
        <v>1427</v>
      </c>
      <c r="Q399" s="91" t="n">
        <v>1</v>
      </c>
    </row>
    <row r="400" customFormat="false" ht="12.75" hidden="false" customHeight="false" outlineLevel="0" collapsed="false">
      <c r="A400" s="91" t="s">
        <v>718</v>
      </c>
      <c r="B400" s="91" t="s">
        <v>1433</v>
      </c>
      <c r="C400" s="91" t="s">
        <v>720</v>
      </c>
      <c r="D400" s="91" t="s">
        <v>725</v>
      </c>
      <c r="E400" s="91" t="s">
        <v>281</v>
      </c>
      <c r="F400" s="91" t="n">
        <v>2015</v>
      </c>
      <c r="G400" s="91" t="n">
        <v>18000</v>
      </c>
      <c r="H400" s="91" t="n">
        <v>8362</v>
      </c>
      <c r="I400" s="91" t="s">
        <v>722</v>
      </c>
      <c r="J400" s="95" t="n">
        <v>45048</v>
      </c>
      <c r="K400" s="91" t="s">
        <v>504</v>
      </c>
      <c r="L400" s="91" t="s">
        <v>505</v>
      </c>
      <c r="M400" s="91" t="s">
        <v>1426</v>
      </c>
      <c r="N400" s="91" t="s">
        <v>506</v>
      </c>
      <c r="O400" s="98" t="s">
        <v>1427</v>
      </c>
      <c r="Q400" s="91" t="n">
        <v>1</v>
      </c>
    </row>
    <row r="401" s="91" customFormat="true" ht="12.75" hidden="false" customHeight="false" outlineLevel="0" collapsed="false">
      <c r="A401" s="91" t="s">
        <v>718</v>
      </c>
      <c r="B401" s="91" t="s">
        <v>1434</v>
      </c>
      <c r="C401" s="91" t="s">
        <v>720</v>
      </c>
      <c r="D401" s="91" t="s">
        <v>738</v>
      </c>
      <c r="E401" s="91" t="s">
        <v>206</v>
      </c>
      <c r="F401" s="91" t="n">
        <v>2007</v>
      </c>
      <c r="G401" s="91" t="n">
        <v>18000</v>
      </c>
      <c r="H401" s="91" t="n">
        <v>8270</v>
      </c>
      <c r="I401" s="91" t="s">
        <v>722</v>
      </c>
      <c r="J401" s="95" t="n">
        <v>44679</v>
      </c>
      <c r="K401" s="91" t="s">
        <v>507</v>
      </c>
      <c r="M401" s="91" t="s">
        <v>1435</v>
      </c>
      <c r="N401" s="91" t="s">
        <v>251</v>
      </c>
      <c r="O401" s="96" t="str">
        <f aca="false">CO_ORDINATES(N401)</f>
        <v>55.8973548,26.561578902688808</v>
      </c>
      <c r="Q401" s="91" t="n">
        <v>1</v>
      </c>
    </row>
    <row r="402" s="91" customFormat="true" ht="12.75" hidden="false" customHeight="false" outlineLevel="0" collapsed="false">
      <c r="A402" s="91" t="s">
        <v>718</v>
      </c>
      <c r="B402" s="91" t="s">
        <v>1436</v>
      </c>
      <c r="C402" s="91" t="s">
        <v>720</v>
      </c>
      <c r="D402" s="91" t="s">
        <v>721</v>
      </c>
      <c r="E402" s="91" t="s">
        <v>351</v>
      </c>
      <c r="F402" s="91" t="n">
        <v>2008</v>
      </c>
      <c r="G402" s="91" t="n">
        <v>18000</v>
      </c>
      <c r="H402" s="91" t="n">
        <v>8510</v>
      </c>
      <c r="I402" s="91" t="s">
        <v>722</v>
      </c>
      <c r="J402" s="95" t="n">
        <v>45043</v>
      </c>
      <c r="K402" s="91" t="s">
        <v>507</v>
      </c>
      <c r="M402" s="91" t="s">
        <v>1435</v>
      </c>
      <c r="N402" s="91" t="s">
        <v>251</v>
      </c>
      <c r="O402" s="96" t="str">
        <f aca="false">CO_ORDINATES(N402)</f>
        <v>55.8973548,26.561578902688808</v>
      </c>
      <c r="Q402" s="91" t="n">
        <v>1</v>
      </c>
    </row>
    <row r="403" customFormat="false" ht="12.75" hidden="false" customHeight="false" outlineLevel="0" collapsed="false">
      <c r="A403" s="91" t="s">
        <v>718</v>
      </c>
      <c r="B403" s="91" t="s">
        <v>1437</v>
      </c>
      <c r="C403" s="91" t="s">
        <v>748</v>
      </c>
      <c r="D403" s="91" t="s">
        <v>749</v>
      </c>
      <c r="E403" s="91" t="s">
        <v>354</v>
      </c>
      <c r="F403" s="91" t="n">
        <v>2016</v>
      </c>
      <c r="G403" s="91" t="n">
        <v>18000</v>
      </c>
      <c r="H403" s="91" t="n">
        <v>8395</v>
      </c>
      <c r="I403" s="91" t="s">
        <v>722</v>
      </c>
      <c r="J403" s="95" t="n">
        <v>44748</v>
      </c>
      <c r="K403" s="91" t="s">
        <v>507</v>
      </c>
      <c r="L403" s="91" t="s">
        <v>508</v>
      </c>
      <c r="M403" s="91" t="s">
        <v>1435</v>
      </c>
      <c r="N403" s="91" t="s">
        <v>251</v>
      </c>
      <c r="O403" s="96" t="str">
        <f aca="false">CO_ORDINATES(N403)</f>
        <v>55.8973548,26.561578902688808</v>
      </c>
      <c r="Q403" s="91" t="n">
        <v>1</v>
      </c>
    </row>
    <row r="404" s="91" customFormat="true" ht="12.75" hidden="false" customHeight="false" outlineLevel="0" collapsed="false">
      <c r="A404" s="91" t="s">
        <v>718</v>
      </c>
      <c r="B404" s="91" t="s">
        <v>1438</v>
      </c>
      <c r="C404" s="91" t="s">
        <v>727</v>
      </c>
      <c r="D404" s="91" t="s">
        <v>766</v>
      </c>
      <c r="E404" s="91" t="s">
        <v>767</v>
      </c>
      <c r="F404" s="91" t="n">
        <v>2003</v>
      </c>
      <c r="G404" s="91" t="n">
        <v>18600</v>
      </c>
      <c r="H404" s="91" t="n">
        <v>7050</v>
      </c>
      <c r="I404" s="91" t="s">
        <v>722</v>
      </c>
      <c r="J404" s="95" t="n">
        <v>44910</v>
      </c>
      <c r="K404" s="91" t="s">
        <v>509</v>
      </c>
      <c r="M404" s="91" t="s">
        <v>1439</v>
      </c>
      <c r="N404" s="91" t="s">
        <v>511</v>
      </c>
      <c r="O404" s="96" t="str">
        <f aca="false">CO_ORDINATES(N404)</f>
        <v>55.870596649999996,26.52166119950618</v>
      </c>
      <c r="Q404" s="91" t="n">
        <v>1</v>
      </c>
    </row>
    <row r="405" s="91" customFormat="true" ht="12.75" hidden="false" customHeight="false" outlineLevel="0" collapsed="false">
      <c r="A405" s="91" t="s">
        <v>718</v>
      </c>
      <c r="B405" s="91" t="s">
        <v>1440</v>
      </c>
      <c r="C405" s="91" t="s">
        <v>720</v>
      </c>
      <c r="D405" s="91" t="s">
        <v>738</v>
      </c>
      <c r="E405" s="91" t="s">
        <v>206</v>
      </c>
      <c r="F405" s="91" t="n">
        <v>2007</v>
      </c>
      <c r="G405" s="91" t="n">
        <v>18000</v>
      </c>
      <c r="H405" s="91" t="n">
        <v>8390</v>
      </c>
      <c r="I405" s="91" t="s">
        <v>722</v>
      </c>
      <c r="J405" s="95" t="n">
        <v>45007</v>
      </c>
      <c r="K405" s="91" t="s">
        <v>509</v>
      </c>
      <c r="M405" s="91" t="s">
        <v>1439</v>
      </c>
      <c r="N405" s="91" t="s">
        <v>511</v>
      </c>
      <c r="O405" s="96" t="str">
        <f aca="false">CO_ORDINATES(N405)</f>
        <v>55.870596649999996,26.52166119950618</v>
      </c>
      <c r="Q405" s="91" t="n">
        <v>1</v>
      </c>
    </row>
    <row r="406" s="91" customFormat="true" ht="12.75" hidden="false" customHeight="false" outlineLevel="0" collapsed="false">
      <c r="A406" s="91" t="s">
        <v>718</v>
      </c>
      <c r="B406" s="91" t="s">
        <v>1441</v>
      </c>
      <c r="C406" s="91" t="s">
        <v>720</v>
      </c>
      <c r="D406" s="91" t="s">
        <v>738</v>
      </c>
      <c r="E406" s="91" t="s">
        <v>206</v>
      </c>
      <c r="F406" s="91" t="n">
        <v>2009</v>
      </c>
      <c r="G406" s="91" t="n">
        <v>18000</v>
      </c>
      <c r="H406" s="91" t="n">
        <v>7900</v>
      </c>
      <c r="I406" s="91" t="s">
        <v>722</v>
      </c>
      <c r="J406" s="95" t="n">
        <v>45028</v>
      </c>
      <c r="K406" s="91" t="s">
        <v>509</v>
      </c>
      <c r="M406" s="91" t="s">
        <v>1439</v>
      </c>
      <c r="N406" s="91" t="s">
        <v>511</v>
      </c>
      <c r="O406" s="96" t="str">
        <f aca="false">CO_ORDINATES(N406)</f>
        <v>55.870596649999996,26.52166119950618</v>
      </c>
      <c r="Q406" s="91" t="n">
        <v>1</v>
      </c>
    </row>
    <row r="407" customFormat="false" ht="12.75" hidden="false" customHeight="false" outlineLevel="0" collapsed="false">
      <c r="A407" s="91" t="s">
        <v>718</v>
      </c>
      <c r="B407" s="91" t="s">
        <v>1442</v>
      </c>
      <c r="C407" s="91" t="s">
        <v>720</v>
      </c>
      <c r="D407" s="91" t="s">
        <v>1443</v>
      </c>
      <c r="E407" s="91" t="s">
        <v>1444</v>
      </c>
      <c r="F407" s="91" t="n">
        <v>2005</v>
      </c>
      <c r="G407" s="91" t="n">
        <v>17990</v>
      </c>
      <c r="H407" s="91" t="n">
        <v>7750</v>
      </c>
      <c r="I407" s="91" t="s">
        <v>868</v>
      </c>
      <c r="J407" s="95" t="n">
        <v>44700</v>
      </c>
      <c r="K407" s="91" t="s">
        <v>509</v>
      </c>
      <c r="L407" s="91" t="s">
        <v>510</v>
      </c>
      <c r="M407" s="91" t="s">
        <v>1439</v>
      </c>
      <c r="N407" s="91" t="s">
        <v>511</v>
      </c>
      <c r="O407" s="96" t="str">
        <f aca="false">CO_ORDINATES(N407)</f>
        <v>55.870596649999996,26.52166119950618</v>
      </c>
      <c r="Q407" s="91" t="n">
        <v>1</v>
      </c>
    </row>
    <row r="408" s="91" customFormat="true" ht="12.75" hidden="false" customHeight="false" outlineLevel="0" collapsed="false">
      <c r="A408" s="91" t="s">
        <v>718</v>
      </c>
      <c r="B408" s="91" t="s">
        <v>1445</v>
      </c>
      <c r="C408" s="91" t="s">
        <v>720</v>
      </c>
      <c r="D408" s="91" t="s">
        <v>721</v>
      </c>
      <c r="E408" s="91" t="s">
        <v>351</v>
      </c>
      <c r="F408" s="91" t="n">
        <v>2007</v>
      </c>
      <c r="G408" s="91" t="n">
        <v>20500</v>
      </c>
      <c r="H408" s="91" t="n">
        <v>8620</v>
      </c>
      <c r="I408" s="91" t="s">
        <v>722</v>
      </c>
      <c r="J408" s="95" t="n">
        <v>44880</v>
      </c>
      <c r="K408" s="91" t="s">
        <v>512</v>
      </c>
      <c r="M408" s="91" t="s">
        <v>1446</v>
      </c>
      <c r="N408" s="91" t="s">
        <v>514</v>
      </c>
      <c r="O408" s="96" t="str">
        <f aca="false">CO_ORDINATES(N408)</f>
        <v>55.9017155,26.5347614</v>
      </c>
      <c r="Q408" s="91" t="n">
        <v>1</v>
      </c>
    </row>
    <row r="409" customFormat="false" ht="12.75" hidden="false" customHeight="false" outlineLevel="0" collapsed="false">
      <c r="A409" s="91" t="s">
        <v>718</v>
      </c>
      <c r="B409" s="91" t="s">
        <v>1447</v>
      </c>
      <c r="C409" s="91" t="s">
        <v>720</v>
      </c>
      <c r="D409" s="91" t="s">
        <v>801</v>
      </c>
      <c r="E409" s="91" t="s">
        <v>348</v>
      </c>
      <c r="F409" s="91" t="n">
        <v>2013</v>
      </c>
      <c r="G409" s="91" t="n">
        <v>19500</v>
      </c>
      <c r="H409" s="91" t="n">
        <v>8688</v>
      </c>
      <c r="I409" s="91" t="s">
        <v>722</v>
      </c>
      <c r="J409" s="95" t="n">
        <v>44743</v>
      </c>
      <c r="K409" s="91" t="s">
        <v>512</v>
      </c>
      <c r="L409" s="91" t="s">
        <v>513</v>
      </c>
      <c r="M409" s="91" t="s">
        <v>1446</v>
      </c>
      <c r="N409" s="91" t="s">
        <v>1448</v>
      </c>
      <c r="O409" s="96" t="str">
        <f aca="false">CO_ORDINATES(N409)</f>
        <v>55.9017155,26.5347614</v>
      </c>
      <c r="Q409" s="91" t="n">
        <v>1</v>
      </c>
    </row>
    <row r="410" customFormat="false" ht="12.75" hidden="false" customHeight="false" outlineLevel="0" collapsed="false">
      <c r="A410" s="91" t="s">
        <v>718</v>
      </c>
      <c r="C410" s="91" t="s">
        <v>720</v>
      </c>
      <c r="D410" s="91" t="s">
        <v>721</v>
      </c>
      <c r="E410" s="91" t="s">
        <v>351</v>
      </c>
      <c r="F410" s="91" t="n">
        <v>2008</v>
      </c>
      <c r="G410" s="91" t="n">
        <v>20500</v>
      </c>
      <c r="H410" s="91" t="n">
        <v>7800</v>
      </c>
      <c r="I410" s="91" t="s">
        <v>722</v>
      </c>
      <c r="J410" s="95" t="n">
        <v>44770</v>
      </c>
      <c r="K410" s="91" t="s">
        <v>515</v>
      </c>
      <c r="L410" s="91" t="s">
        <v>351</v>
      </c>
      <c r="M410" s="91" t="s">
        <v>1449</v>
      </c>
      <c r="N410" s="91" t="s">
        <v>506</v>
      </c>
      <c r="O410" s="98" t="e">
        <f aca="false">CO_ORDINATES(N410)</f>
        <v>#VALUE!</v>
      </c>
      <c r="Q410" s="91" t="n">
        <v>1</v>
      </c>
    </row>
    <row r="411" customFormat="false" ht="12.75" hidden="false" customHeight="false" outlineLevel="0" collapsed="false">
      <c r="A411" s="91" t="s">
        <v>718</v>
      </c>
      <c r="B411" s="91" t="s">
        <v>1450</v>
      </c>
      <c r="C411" s="91" t="s">
        <v>720</v>
      </c>
      <c r="D411" s="91" t="s">
        <v>801</v>
      </c>
      <c r="E411" s="91" t="s">
        <v>348</v>
      </c>
      <c r="F411" s="91" t="n">
        <v>2013</v>
      </c>
      <c r="G411" s="91" t="n">
        <v>19000</v>
      </c>
      <c r="H411" s="91" t="n">
        <v>8309</v>
      </c>
      <c r="I411" s="91" t="s">
        <v>722</v>
      </c>
      <c r="J411" s="95" t="n">
        <v>44729</v>
      </c>
      <c r="K411" s="91" t="s">
        <v>516</v>
      </c>
      <c r="L411" s="91" t="s">
        <v>348</v>
      </c>
      <c r="M411" s="91" t="s">
        <v>1451</v>
      </c>
      <c r="N411" s="91" t="s">
        <v>517</v>
      </c>
      <c r="O411" s="96" t="str">
        <f aca="false">CO_ORDINATES(N411)</f>
        <v>55.8650052,26.6012979</v>
      </c>
      <c r="Q411" s="91" t="n">
        <v>1</v>
      </c>
    </row>
    <row r="412" customFormat="false" ht="12.75" hidden="false" customHeight="false" outlineLevel="0" collapsed="false">
      <c r="A412" s="91" t="s">
        <v>718</v>
      </c>
      <c r="B412" s="91" t="s">
        <v>1452</v>
      </c>
      <c r="C412" s="91" t="s">
        <v>968</v>
      </c>
      <c r="D412" s="91" t="s">
        <v>969</v>
      </c>
      <c r="E412" s="91" t="s">
        <v>519</v>
      </c>
      <c r="F412" s="91" t="n">
        <v>2002</v>
      </c>
      <c r="G412" s="91" t="n">
        <v>19000</v>
      </c>
      <c r="H412" s="91" t="n">
        <v>8139</v>
      </c>
      <c r="I412" s="91" t="s">
        <v>722</v>
      </c>
      <c r="J412" s="95" t="n">
        <v>44992</v>
      </c>
      <c r="K412" s="91" t="s">
        <v>518</v>
      </c>
      <c r="L412" s="91" t="s">
        <v>519</v>
      </c>
      <c r="M412" s="91" t="s">
        <v>1453</v>
      </c>
      <c r="N412" s="91" t="s">
        <v>520</v>
      </c>
      <c r="O412" s="96" t="str">
        <f aca="false">CO_ORDINATES(N412)</f>
        <v>55.8909886,26.5576666</v>
      </c>
      <c r="Q412" s="91" t="n">
        <v>1</v>
      </c>
    </row>
    <row r="413" customFormat="false" ht="12.75" hidden="false" customHeight="false" outlineLevel="0" collapsed="false">
      <c r="A413" s="91" t="s">
        <v>718</v>
      </c>
      <c r="B413" s="91" t="s">
        <v>1454</v>
      </c>
      <c r="C413" s="91" t="s">
        <v>731</v>
      </c>
      <c r="D413" s="91" t="s">
        <v>763</v>
      </c>
      <c r="E413" s="91" t="s">
        <v>238</v>
      </c>
      <c r="F413" s="91" t="n">
        <v>2000</v>
      </c>
      <c r="G413" s="91" t="n">
        <v>19000</v>
      </c>
      <c r="H413" s="91" t="n">
        <v>6860</v>
      </c>
      <c r="I413" s="91" t="s">
        <v>722</v>
      </c>
      <c r="J413" s="95" t="n">
        <v>44783</v>
      </c>
      <c r="K413" s="91" t="s">
        <v>521</v>
      </c>
      <c r="L413" s="91" t="s">
        <v>238</v>
      </c>
      <c r="M413" s="91" t="s">
        <v>1455</v>
      </c>
      <c r="N413" s="91" t="s">
        <v>522</v>
      </c>
      <c r="O413" s="96" t="str">
        <f aca="false">CO_ORDINATES(N413)</f>
        <v>55.8973016,26.520061</v>
      </c>
      <c r="Q413" s="91" t="n">
        <v>1</v>
      </c>
    </row>
    <row r="414" customFormat="false" ht="12.75" hidden="false" customHeight="false" outlineLevel="0" collapsed="false">
      <c r="A414" s="91" t="s">
        <v>718</v>
      </c>
      <c r="B414" s="91" t="s">
        <v>1456</v>
      </c>
      <c r="C414" s="91" t="s">
        <v>771</v>
      </c>
      <c r="D414" s="91" t="s">
        <v>938</v>
      </c>
      <c r="E414" s="91" t="s">
        <v>524</v>
      </c>
      <c r="F414" s="91" t="n">
        <v>2004</v>
      </c>
      <c r="G414" s="91" t="n">
        <v>18000</v>
      </c>
      <c r="H414" s="91" t="n">
        <v>8100</v>
      </c>
      <c r="I414" s="91" t="s">
        <v>722</v>
      </c>
      <c r="J414" s="95" t="n">
        <v>44867</v>
      </c>
      <c r="K414" s="91" t="s">
        <v>523</v>
      </c>
      <c r="L414" s="91" t="s">
        <v>524</v>
      </c>
      <c r="M414" s="91" t="s">
        <v>1457</v>
      </c>
      <c r="N414" s="91" t="s">
        <v>525</v>
      </c>
      <c r="O414" s="96" t="str">
        <f aca="false">CO_ORDINATES(N414)</f>
        <v>55.9044773,26.4947186</v>
      </c>
      <c r="Q414" s="91" t="n">
        <v>1</v>
      </c>
    </row>
    <row r="415" s="91" customFormat="true" ht="12.75" hidden="false" customHeight="false" outlineLevel="0" collapsed="false">
      <c r="A415" s="91" t="s">
        <v>718</v>
      </c>
      <c r="B415" s="91" t="s">
        <v>1458</v>
      </c>
      <c r="C415" s="91" t="s">
        <v>720</v>
      </c>
      <c r="D415" s="91" t="s">
        <v>801</v>
      </c>
      <c r="E415" s="91" t="s">
        <v>348</v>
      </c>
      <c r="F415" s="91" t="n">
        <v>2014</v>
      </c>
      <c r="G415" s="91" t="n">
        <v>19500</v>
      </c>
      <c r="H415" s="91" t="n">
        <v>8642</v>
      </c>
      <c r="I415" s="91" t="s">
        <v>722</v>
      </c>
      <c r="J415" s="95" t="n">
        <v>44776</v>
      </c>
      <c r="K415" s="91" t="s">
        <v>526</v>
      </c>
      <c r="M415" s="91" t="s">
        <v>1459</v>
      </c>
      <c r="N415" s="91" t="s">
        <v>528</v>
      </c>
      <c r="O415" s="96" t="str">
        <f aca="false">CO_ORDINATES(N415)</f>
        <v>55.881292599999995,26.55589053623666</v>
      </c>
      <c r="Q415" s="91" t="n">
        <v>1</v>
      </c>
    </row>
    <row r="416" s="91" customFormat="true" ht="12.75" hidden="false" customHeight="false" outlineLevel="0" collapsed="false">
      <c r="A416" s="91" t="s">
        <v>718</v>
      </c>
      <c r="B416" s="91" t="s">
        <v>1460</v>
      </c>
      <c r="C416" s="91" t="s">
        <v>720</v>
      </c>
      <c r="D416" s="91" t="s">
        <v>1443</v>
      </c>
      <c r="E416" s="91" t="s">
        <v>1444</v>
      </c>
      <c r="F416" s="91" t="n">
        <v>2005</v>
      </c>
      <c r="G416" s="91" t="n">
        <v>19000</v>
      </c>
      <c r="H416" s="91" t="n">
        <v>7830</v>
      </c>
      <c r="I416" s="91" t="s">
        <v>722</v>
      </c>
      <c r="J416" s="95" t="n">
        <v>44848</v>
      </c>
      <c r="K416" s="91" t="s">
        <v>526</v>
      </c>
      <c r="M416" s="91" t="s">
        <v>1459</v>
      </c>
      <c r="N416" s="91" t="s">
        <v>528</v>
      </c>
      <c r="O416" s="96" t="str">
        <f aca="false">CO_ORDINATES(N416)</f>
        <v>55.881292599999995,26.55589053623666</v>
      </c>
      <c r="Q416" s="91" t="n">
        <v>1</v>
      </c>
    </row>
    <row r="417" s="91" customFormat="true" ht="12.75" hidden="false" customHeight="false" outlineLevel="0" collapsed="false">
      <c r="A417" s="91" t="s">
        <v>718</v>
      </c>
      <c r="B417" s="91" t="s">
        <v>1461</v>
      </c>
      <c r="C417" s="91" t="s">
        <v>720</v>
      </c>
      <c r="D417" s="91" t="s">
        <v>721</v>
      </c>
      <c r="E417" s="91" t="s">
        <v>351</v>
      </c>
      <c r="F417" s="91" t="n">
        <v>2012</v>
      </c>
      <c r="G417" s="91" t="n">
        <v>19000</v>
      </c>
      <c r="H417" s="91" t="n">
        <v>8330</v>
      </c>
      <c r="I417" s="91" t="s">
        <v>722</v>
      </c>
      <c r="J417" s="95" t="n">
        <v>44823</v>
      </c>
      <c r="K417" s="91" t="s">
        <v>526</v>
      </c>
      <c r="M417" s="91" t="s">
        <v>1459</v>
      </c>
      <c r="N417" s="91" t="s">
        <v>528</v>
      </c>
      <c r="O417" s="96" t="str">
        <f aca="false">CO_ORDINATES(N417)</f>
        <v>55.881292599999995,26.55589053623666</v>
      </c>
      <c r="Q417" s="91" t="n">
        <v>1</v>
      </c>
    </row>
    <row r="418" s="91" customFormat="true" ht="12.75" hidden="false" customHeight="false" outlineLevel="0" collapsed="false">
      <c r="A418" s="91" t="s">
        <v>718</v>
      </c>
      <c r="B418" s="91" t="s">
        <v>1462</v>
      </c>
      <c r="C418" s="91" t="s">
        <v>720</v>
      </c>
      <c r="D418" s="91" t="s">
        <v>801</v>
      </c>
      <c r="E418" s="91" t="s">
        <v>348</v>
      </c>
      <c r="F418" s="91" t="n">
        <v>2013</v>
      </c>
      <c r="G418" s="91" t="n">
        <v>18000</v>
      </c>
      <c r="H418" s="91" t="n">
        <v>8090</v>
      </c>
      <c r="I418" s="91" t="s">
        <v>722</v>
      </c>
      <c r="J418" s="95" t="n">
        <v>44866</v>
      </c>
      <c r="K418" s="91" t="s">
        <v>526</v>
      </c>
      <c r="M418" s="91" t="s">
        <v>1459</v>
      </c>
      <c r="N418" s="91" t="s">
        <v>528</v>
      </c>
      <c r="O418" s="96" t="str">
        <f aca="false">CO_ORDINATES(N418)</f>
        <v>55.881292599999995,26.55589053623666</v>
      </c>
      <c r="Q418" s="91" t="n">
        <v>1</v>
      </c>
    </row>
    <row r="419" s="91" customFormat="true" ht="12.75" hidden="false" customHeight="false" outlineLevel="0" collapsed="false">
      <c r="A419" s="91" t="s">
        <v>718</v>
      </c>
      <c r="B419" s="91" t="s">
        <v>1463</v>
      </c>
      <c r="C419" s="91" t="s">
        <v>720</v>
      </c>
      <c r="D419" s="91" t="s">
        <v>721</v>
      </c>
      <c r="E419" s="91" t="s">
        <v>351</v>
      </c>
      <c r="F419" s="91" t="n">
        <v>2011</v>
      </c>
      <c r="G419" s="91" t="n">
        <v>18000</v>
      </c>
      <c r="H419" s="91" t="n">
        <v>8744</v>
      </c>
      <c r="I419" s="91" t="s">
        <v>722</v>
      </c>
      <c r="J419" s="95" t="n">
        <v>44726</v>
      </c>
      <c r="K419" s="91" t="s">
        <v>526</v>
      </c>
      <c r="M419" s="91" t="s">
        <v>1459</v>
      </c>
      <c r="N419" s="91" t="s">
        <v>528</v>
      </c>
      <c r="O419" s="96" t="str">
        <f aca="false">CO_ORDINATES(N419)</f>
        <v>55.881292599999995,26.55589053623666</v>
      </c>
      <c r="Q419" s="91" t="n">
        <v>1</v>
      </c>
    </row>
    <row r="420" s="91" customFormat="true" ht="12.75" hidden="false" customHeight="false" outlineLevel="0" collapsed="false">
      <c r="A420" s="91" t="s">
        <v>718</v>
      </c>
      <c r="B420" s="91" t="s">
        <v>1464</v>
      </c>
      <c r="C420" s="91" t="s">
        <v>720</v>
      </c>
      <c r="D420" s="91" t="s">
        <v>721</v>
      </c>
      <c r="E420" s="91" t="s">
        <v>351</v>
      </c>
      <c r="F420" s="91" t="n">
        <v>2011</v>
      </c>
      <c r="G420" s="91" t="n">
        <v>18000</v>
      </c>
      <c r="H420" s="91" t="n">
        <v>8689</v>
      </c>
      <c r="I420" s="91" t="s">
        <v>722</v>
      </c>
      <c r="J420" s="95" t="n">
        <v>44824</v>
      </c>
      <c r="K420" s="91" t="s">
        <v>526</v>
      </c>
      <c r="M420" s="91" t="s">
        <v>1459</v>
      </c>
      <c r="N420" s="91" t="s">
        <v>528</v>
      </c>
      <c r="O420" s="96" t="str">
        <f aca="false">CO_ORDINATES(N420)</f>
        <v>55.881292599999995,26.55589053623666</v>
      </c>
      <c r="Q420" s="91" t="n">
        <v>1</v>
      </c>
    </row>
    <row r="421" s="91" customFormat="true" ht="12.75" hidden="false" customHeight="false" outlineLevel="0" collapsed="false">
      <c r="A421" s="91" t="s">
        <v>718</v>
      </c>
      <c r="B421" s="91" t="s">
        <v>1465</v>
      </c>
      <c r="C421" s="91" t="s">
        <v>720</v>
      </c>
      <c r="D421" s="91" t="s">
        <v>721</v>
      </c>
      <c r="E421" s="91" t="s">
        <v>351</v>
      </c>
      <c r="F421" s="91" t="n">
        <v>2012</v>
      </c>
      <c r="G421" s="91" t="n">
        <v>18000</v>
      </c>
      <c r="H421" s="91" t="n">
        <v>8601</v>
      </c>
      <c r="I421" s="91" t="s">
        <v>722</v>
      </c>
      <c r="J421" s="95" t="n">
        <v>44882</v>
      </c>
      <c r="K421" s="91" t="s">
        <v>526</v>
      </c>
      <c r="M421" s="91" t="s">
        <v>1459</v>
      </c>
      <c r="N421" s="91" t="s">
        <v>528</v>
      </c>
      <c r="O421" s="96" t="str">
        <f aca="false">CO_ORDINATES(N421)</f>
        <v>55.881292599999995,26.55589053623666</v>
      </c>
      <c r="Q421" s="91" t="n">
        <v>1</v>
      </c>
    </row>
    <row r="422" s="91" customFormat="true" ht="12.75" hidden="false" customHeight="false" outlineLevel="0" collapsed="false">
      <c r="A422" s="91" t="s">
        <v>718</v>
      </c>
      <c r="B422" s="91" t="s">
        <v>1466</v>
      </c>
      <c r="C422" s="91" t="s">
        <v>720</v>
      </c>
      <c r="D422" s="91" t="s">
        <v>721</v>
      </c>
      <c r="E422" s="91" t="s">
        <v>351</v>
      </c>
      <c r="F422" s="91" t="n">
        <v>2011</v>
      </c>
      <c r="G422" s="91" t="n">
        <v>18000</v>
      </c>
      <c r="H422" s="91" t="n">
        <v>8744</v>
      </c>
      <c r="I422" s="91" t="s">
        <v>722</v>
      </c>
      <c r="J422" s="95" t="n">
        <v>44958</v>
      </c>
      <c r="K422" s="91" t="s">
        <v>526</v>
      </c>
      <c r="M422" s="91" t="s">
        <v>1459</v>
      </c>
      <c r="N422" s="91" t="s">
        <v>528</v>
      </c>
      <c r="O422" s="96" t="str">
        <f aca="false">CO_ORDINATES(N422)</f>
        <v>55.881292599999995,26.55589053623666</v>
      </c>
      <c r="Q422" s="91" t="n">
        <v>1</v>
      </c>
    </row>
    <row r="423" s="91" customFormat="true" ht="12.75" hidden="false" customHeight="false" outlineLevel="0" collapsed="false">
      <c r="A423" s="91" t="s">
        <v>718</v>
      </c>
      <c r="B423" s="91" t="s">
        <v>1467</v>
      </c>
      <c r="C423" s="91" t="s">
        <v>720</v>
      </c>
      <c r="D423" s="91" t="s">
        <v>725</v>
      </c>
      <c r="E423" s="91" t="s">
        <v>281</v>
      </c>
      <c r="F423" s="91" t="n">
        <v>2015</v>
      </c>
      <c r="G423" s="91" t="n">
        <v>18000</v>
      </c>
      <c r="H423" s="91" t="n">
        <v>8784</v>
      </c>
      <c r="I423" s="91" t="s">
        <v>722</v>
      </c>
      <c r="J423" s="95" t="n">
        <v>44866</v>
      </c>
      <c r="K423" s="91" t="s">
        <v>526</v>
      </c>
      <c r="M423" s="91" t="s">
        <v>1459</v>
      </c>
      <c r="N423" s="91" t="s">
        <v>528</v>
      </c>
      <c r="O423" s="96" t="str">
        <f aca="false">CO_ORDINATES(N423)</f>
        <v>55.881292599999995,26.55589053623666</v>
      </c>
      <c r="Q423" s="91" t="n">
        <v>1</v>
      </c>
    </row>
    <row r="424" s="91" customFormat="true" ht="12.75" hidden="false" customHeight="false" outlineLevel="0" collapsed="false">
      <c r="A424" s="91" t="s">
        <v>718</v>
      </c>
      <c r="B424" s="91" t="s">
        <v>1468</v>
      </c>
      <c r="C424" s="91" t="s">
        <v>720</v>
      </c>
      <c r="D424" s="91" t="s">
        <v>725</v>
      </c>
      <c r="E424" s="91" t="s">
        <v>281</v>
      </c>
      <c r="F424" s="91" t="n">
        <v>2016</v>
      </c>
      <c r="G424" s="91" t="n">
        <v>18000</v>
      </c>
      <c r="H424" s="91" t="n">
        <v>8764</v>
      </c>
      <c r="I424" s="91" t="s">
        <v>722</v>
      </c>
      <c r="J424" s="95" t="n">
        <v>44889</v>
      </c>
      <c r="K424" s="91" t="s">
        <v>526</v>
      </c>
      <c r="M424" s="91" t="s">
        <v>1459</v>
      </c>
      <c r="N424" s="91" t="s">
        <v>528</v>
      </c>
      <c r="O424" s="96" t="str">
        <f aca="false">CO_ORDINATES(N424)</f>
        <v>55.881292599999995,26.55589053623666</v>
      </c>
      <c r="Q424" s="91" t="n">
        <v>1</v>
      </c>
    </row>
    <row r="425" s="91" customFormat="true" ht="12.75" hidden="false" customHeight="false" outlineLevel="0" collapsed="false">
      <c r="A425" s="91" t="s">
        <v>718</v>
      </c>
      <c r="B425" s="91" t="s">
        <v>1469</v>
      </c>
      <c r="C425" s="91" t="s">
        <v>720</v>
      </c>
      <c r="D425" s="91" t="s">
        <v>725</v>
      </c>
      <c r="E425" s="91" t="s">
        <v>281</v>
      </c>
      <c r="F425" s="91" t="n">
        <v>2016</v>
      </c>
      <c r="G425" s="91" t="n">
        <v>18000</v>
      </c>
      <c r="H425" s="91" t="n">
        <v>8769</v>
      </c>
      <c r="I425" s="91" t="s">
        <v>722</v>
      </c>
      <c r="J425" s="95" t="n">
        <v>45049</v>
      </c>
      <c r="K425" s="91" t="s">
        <v>526</v>
      </c>
      <c r="M425" s="91" t="s">
        <v>1459</v>
      </c>
      <c r="N425" s="91" t="s">
        <v>528</v>
      </c>
      <c r="O425" s="96" t="str">
        <f aca="false">CO_ORDINATES(N425)</f>
        <v>55.881292599999995,26.55589053623666</v>
      </c>
      <c r="Q425" s="91" t="n">
        <v>1</v>
      </c>
    </row>
    <row r="426" customFormat="false" ht="12.75" hidden="false" customHeight="false" outlineLevel="0" collapsed="false">
      <c r="A426" s="91" t="s">
        <v>718</v>
      </c>
      <c r="B426" s="91" t="s">
        <v>1470</v>
      </c>
      <c r="C426" s="91" t="s">
        <v>720</v>
      </c>
      <c r="D426" s="91" t="s">
        <v>1237</v>
      </c>
      <c r="E426" s="91" t="s">
        <v>1238</v>
      </c>
      <c r="F426" s="91" t="n">
        <v>2018</v>
      </c>
      <c r="G426" s="91" t="n">
        <v>18000</v>
      </c>
      <c r="H426" s="91" t="n">
        <v>8645</v>
      </c>
      <c r="I426" s="91" t="s">
        <v>722</v>
      </c>
      <c r="J426" s="95" t="n">
        <v>44762</v>
      </c>
      <c r="K426" s="91" t="s">
        <v>526</v>
      </c>
      <c r="L426" s="91" t="s">
        <v>1471</v>
      </c>
      <c r="M426" s="91" t="s">
        <v>1459</v>
      </c>
      <c r="N426" s="91" t="s">
        <v>528</v>
      </c>
      <c r="O426" s="96" t="str">
        <f aca="false">CO_ORDINATES(N426)</f>
        <v>55.881292599999995,26.55589053623666</v>
      </c>
      <c r="Q426" s="91" t="n">
        <v>1</v>
      </c>
    </row>
    <row r="427" s="91" customFormat="true" ht="12.75" hidden="false" customHeight="false" outlineLevel="0" collapsed="false">
      <c r="A427" s="91" t="s">
        <v>718</v>
      </c>
      <c r="B427" s="91" t="s">
        <v>1472</v>
      </c>
      <c r="C427" s="91" t="s">
        <v>720</v>
      </c>
      <c r="D427" s="91" t="s">
        <v>801</v>
      </c>
      <c r="E427" s="91" t="s">
        <v>348</v>
      </c>
      <c r="F427" s="91" t="n">
        <v>2013</v>
      </c>
      <c r="G427" s="91" t="n">
        <v>19500</v>
      </c>
      <c r="H427" s="91" t="n">
        <v>8614</v>
      </c>
      <c r="I427" s="91" t="s">
        <v>722</v>
      </c>
      <c r="J427" s="95" t="n">
        <v>44889</v>
      </c>
      <c r="K427" s="91" t="s">
        <v>1473</v>
      </c>
      <c r="M427" s="91" t="s">
        <v>1474</v>
      </c>
      <c r="N427" s="91" t="s">
        <v>1475</v>
      </c>
      <c r="O427" s="96" t="str">
        <f aca="false">CO_ORDINATES(N427)</f>
        <v>55.8729572,26.583334132218432</v>
      </c>
      <c r="Q427" s="91" t="n">
        <v>1</v>
      </c>
    </row>
    <row r="428" s="91" customFormat="true" ht="12.75" hidden="false" customHeight="false" outlineLevel="0" collapsed="false">
      <c r="A428" s="91" t="s">
        <v>718</v>
      </c>
      <c r="B428" s="91" t="s">
        <v>1476</v>
      </c>
      <c r="C428" s="91" t="s">
        <v>720</v>
      </c>
      <c r="D428" s="91" t="s">
        <v>801</v>
      </c>
      <c r="E428" s="91" t="s">
        <v>348</v>
      </c>
      <c r="F428" s="91" t="n">
        <v>2013</v>
      </c>
      <c r="G428" s="91" t="n">
        <v>19500</v>
      </c>
      <c r="H428" s="91" t="n">
        <v>8628</v>
      </c>
      <c r="I428" s="91" t="s">
        <v>722</v>
      </c>
      <c r="J428" s="95" t="n">
        <v>45071</v>
      </c>
      <c r="K428" s="91" t="s">
        <v>1473</v>
      </c>
      <c r="M428" s="91" t="s">
        <v>1474</v>
      </c>
      <c r="N428" s="91" t="s">
        <v>1475</v>
      </c>
      <c r="O428" s="96" t="str">
        <f aca="false">CO_ORDINATES(N428)</f>
        <v>55.8729572,26.583334132218432</v>
      </c>
      <c r="Q428" s="91" t="n">
        <v>1</v>
      </c>
    </row>
    <row r="429" s="91" customFormat="true" ht="12.75" hidden="false" customHeight="false" outlineLevel="0" collapsed="false">
      <c r="A429" s="91" t="s">
        <v>718</v>
      </c>
      <c r="B429" s="91" t="s">
        <v>1477</v>
      </c>
      <c r="C429" s="91" t="s">
        <v>720</v>
      </c>
      <c r="D429" s="91" t="s">
        <v>801</v>
      </c>
      <c r="E429" s="91" t="s">
        <v>348</v>
      </c>
      <c r="F429" s="91" t="n">
        <v>2014</v>
      </c>
      <c r="G429" s="91" t="n">
        <v>18000</v>
      </c>
      <c r="H429" s="91" t="n">
        <v>8179</v>
      </c>
      <c r="I429" s="91" t="s">
        <v>722</v>
      </c>
      <c r="J429" s="95" t="n">
        <v>44848</v>
      </c>
      <c r="K429" s="91" t="s">
        <v>1473</v>
      </c>
      <c r="M429" s="91" t="s">
        <v>1474</v>
      </c>
      <c r="N429" s="91" t="s">
        <v>1475</v>
      </c>
      <c r="O429" s="96" t="str">
        <f aca="false">CO_ORDINATES(N429)</f>
        <v>55.8729572,26.583334132218432</v>
      </c>
      <c r="Q429" s="91" t="n">
        <v>1</v>
      </c>
    </row>
    <row r="430" s="91" customFormat="true" ht="12.75" hidden="false" customHeight="false" outlineLevel="0" collapsed="false">
      <c r="A430" s="91" t="s">
        <v>718</v>
      </c>
      <c r="B430" s="91" t="s">
        <v>1478</v>
      </c>
      <c r="C430" s="91" t="s">
        <v>720</v>
      </c>
      <c r="D430" s="91" t="s">
        <v>801</v>
      </c>
      <c r="E430" s="91" t="s">
        <v>348</v>
      </c>
      <c r="F430" s="91" t="n">
        <v>2014</v>
      </c>
      <c r="G430" s="91" t="n">
        <v>18000</v>
      </c>
      <c r="H430" s="91" t="n">
        <v>8490</v>
      </c>
      <c r="I430" s="91" t="s">
        <v>722</v>
      </c>
      <c r="J430" s="95" t="n">
        <v>44972</v>
      </c>
      <c r="K430" s="91" t="s">
        <v>1473</v>
      </c>
      <c r="M430" s="91" t="s">
        <v>1474</v>
      </c>
      <c r="N430" s="91" t="s">
        <v>1475</v>
      </c>
      <c r="O430" s="96" t="str">
        <f aca="false">CO_ORDINATES(N430)</f>
        <v>55.8729572,26.583334132218432</v>
      </c>
      <c r="Q430" s="91" t="n">
        <v>1</v>
      </c>
    </row>
    <row r="431" s="91" customFormat="true" ht="12.75" hidden="false" customHeight="false" outlineLevel="0" collapsed="false">
      <c r="A431" s="91" t="s">
        <v>718</v>
      </c>
      <c r="B431" s="91" t="s">
        <v>1479</v>
      </c>
      <c r="C431" s="91" t="s">
        <v>720</v>
      </c>
      <c r="D431" s="91" t="s">
        <v>801</v>
      </c>
      <c r="E431" s="91" t="s">
        <v>348</v>
      </c>
      <c r="F431" s="91" t="n">
        <v>2013</v>
      </c>
      <c r="G431" s="91" t="n">
        <v>18000</v>
      </c>
      <c r="H431" s="91" t="n">
        <v>8074</v>
      </c>
      <c r="I431" s="91" t="s">
        <v>722</v>
      </c>
      <c r="J431" s="95" t="n">
        <v>45002</v>
      </c>
      <c r="K431" s="91" t="s">
        <v>1473</v>
      </c>
      <c r="M431" s="91" t="s">
        <v>1474</v>
      </c>
      <c r="N431" s="91" t="s">
        <v>1475</v>
      </c>
      <c r="O431" s="96" t="str">
        <f aca="false">CO_ORDINATES(N431)</f>
        <v>55.8729572,26.583334132218432</v>
      </c>
      <c r="Q431" s="91" t="n">
        <v>1</v>
      </c>
    </row>
    <row r="432" s="91" customFormat="true" ht="12.75" hidden="false" customHeight="false" outlineLevel="0" collapsed="false">
      <c r="A432" s="91" t="s">
        <v>718</v>
      </c>
      <c r="B432" s="91" t="s">
        <v>1480</v>
      </c>
      <c r="C432" s="91" t="s">
        <v>720</v>
      </c>
      <c r="D432" s="91" t="s">
        <v>721</v>
      </c>
      <c r="E432" s="91" t="s">
        <v>351</v>
      </c>
      <c r="F432" s="91" t="n">
        <v>2012</v>
      </c>
      <c r="G432" s="91" t="n">
        <v>18000</v>
      </c>
      <c r="H432" s="91" t="n">
        <v>8669</v>
      </c>
      <c r="I432" s="91" t="s">
        <v>722</v>
      </c>
      <c r="J432" s="95" t="n">
        <v>44838</v>
      </c>
      <c r="K432" s="91" t="s">
        <v>1473</v>
      </c>
      <c r="M432" s="91" t="s">
        <v>1474</v>
      </c>
      <c r="N432" s="91" t="s">
        <v>1475</v>
      </c>
      <c r="O432" s="96" t="str">
        <f aca="false">CO_ORDINATES(N432)</f>
        <v>55.8729572,26.583334132218432</v>
      </c>
      <c r="Q432" s="91" t="n">
        <v>1</v>
      </c>
    </row>
    <row r="433" s="91" customFormat="true" ht="12.75" hidden="false" customHeight="false" outlineLevel="0" collapsed="false">
      <c r="A433" s="91" t="s">
        <v>718</v>
      </c>
      <c r="B433" s="91" t="s">
        <v>1481</v>
      </c>
      <c r="C433" s="91" t="s">
        <v>720</v>
      </c>
      <c r="D433" s="91" t="s">
        <v>1244</v>
      </c>
      <c r="E433" s="91" t="s">
        <v>1245</v>
      </c>
      <c r="F433" s="91" t="n">
        <v>2020</v>
      </c>
      <c r="G433" s="91" t="n">
        <v>18000</v>
      </c>
      <c r="H433" s="91" t="n">
        <v>8542</v>
      </c>
      <c r="I433" s="91" t="s">
        <v>722</v>
      </c>
      <c r="J433" s="95" t="n">
        <v>44988</v>
      </c>
      <c r="K433" s="91" t="s">
        <v>1473</v>
      </c>
      <c r="M433" s="91" t="s">
        <v>1474</v>
      </c>
      <c r="N433" s="91" t="s">
        <v>1475</v>
      </c>
      <c r="O433" s="96" t="str">
        <f aca="false">CO_ORDINATES(N433)</f>
        <v>55.8729572,26.583334132218432</v>
      </c>
      <c r="Q433" s="91" t="n">
        <v>1</v>
      </c>
    </row>
    <row r="434" s="91" customFormat="true" ht="12.75" hidden="false" customHeight="false" outlineLevel="0" collapsed="false">
      <c r="A434" s="91" t="s">
        <v>718</v>
      </c>
      <c r="B434" s="91" t="s">
        <v>1482</v>
      </c>
      <c r="C434" s="91" t="s">
        <v>727</v>
      </c>
      <c r="D434" s="91" t="s">
        <v>1052</v>
      </c>
      <c r="E434" s="91" t="s">
        <v>360</v>
      </c>
      <c r="F434" s="91" t="n">
        <v>2018</v>
      </c>
      <c r="G434" s="91" t="n">
        <v>18000</v>
      </c>
      <c r="H434" s="91" t="n">
        <v>8491</v>
      </c>
      <c r="I434" s="91" t="s">
        <v>722</v>
      </c>
      <c r="J434" s="95" t="n">
        <v>44916</v>
      </c>
      <c r="K434" s="91" t="s">
        <v>1473</v>
      </c>
      <c r="M434" s="91" t="s">
        <v>1474</v>
      </c>
      <c r="N434" s="91" t="s">
        <v>1475</v>
      </c>
      <c r="O434" s="96" t="str">
        <f aca="false">CO_ORDINATES(N434)</f>
        <v>55.8729572,26.583334132218432</v>
      </c>
      <c r="Q434" s="91" t="n">
        <v>1</v>
      </c>
    </row>
    <row r="435" s="91" customFormat="true" ht="12.75" hidden="false" customHeight="false" outlineLevel="0" collapsed="false">
      <c r="A435" s="91" t="s">
        <v>718</v>
      </c>
      <c r="B435" s="91" t="s">
        <v>1483</v>
      </c>
      <c r="C435" s="91" t="s">
        <v>731</v>
      </c>
      <c r="D435" s="91" t="s">
        <v>732</v>
      </c>
      <c r="E435" s="91" t="s">
        <v>200</v>
      </c>
      <c r="F435" s="91" t="n">
        <v>2022</v>
      </c>
      <c r="G435" s="91" t="n">
        <v>18000</v>
      </c>
      <c r="H435" s="91" t="n">
        <v>8865</v>
      </c>
      <c r="I435" s="91" t="s">
        <v>722</v>
      </c>
      <c r="J435" s="95" t="n">
        <v>44981</v>
      </c>
      <c r="K435" s="91" t="s">
        <v>1473</v>
      </c>
      <c r="M435" s="91" t="s">
        <v>1474</v>
      </c>
      <c r="N435" s="91" t="s">
        <v>1475</v>
      </c>
      <c r="O435" s="96" t="str">
        <f aca="false">CO_ORDINATES(N435)</f>
        <v>55.8729572,26.583334132218432</v>
      </c>
      <c r="Q435" s="91" t="n">
        <v>1</v>
      </c>
    </row>
    <row r="436" customFormat="false" ht="12.75" hidden="false" customHeight="false" outlineLevel="0" collapsed="false">
      <c r="A436" s="91" t="s">
        <v>718</v>
      </c>
      <c r="B436" s="91" t="s">
        <v>1484</v>
      </c>
      <c r="C436" s="91" t="s">
        <v>731</v>
      </c>
      <c r="D436" s="91" t="s">
        <v>732</v>
      </c>
      <c r="E436" s="91" t="s">
        <v>200</v>
      </c>
      <c r="F436" s="91" t="n">
        <v>2022</v>
      </c>
      <c r="G436" s="91" t="n">
        <v>18000</v>
      </c>
      <c r="H436" s="91" t="n">
        <v>8865</v>
      </c>
      <c r="I436" s="91" t="s">
        <v>722</v>
      </c>
      <c r="J436" s="95" t="n">
        <v>44991</v>
      </c>
      <c r="K436" s="91" t="s">
        <v>1473</v>
      </c>
      <c r="L436" s="91" t="s">
        <v>1485</v>
      </c>
      <c r="M436" s="91" t="s">
        <v>1474</v>
      </c>
      <c r="N436" s="91" t="s">
        <v>1475</v>
      </c>
      <c r="O436" s="96" t="str">
        <f aca="false">CO_ORDINATES(N436)</f>
        <v>55.8729572,26.583334132218432</v>
      </c>
      <c r="Q436" s="91" t="n">
        <v>1</v>
      </c>
    </row>
    <row r="437" s="91" customFormat="true" ht="12.75" hidden="false" customHeight="false" outlineLevel="0" collapsed="false">
      <c r="A437" s="91" t="s">
        <v>718</v>
      </c>
      <c r="B437" s="91" t="s">
        <v>1486</v>
      </c>
      <c r="C437" s="91" t="s">
        <v>727</v>
      </c>
      <c r="D437" s="91" t="s">
        <v>1487</v>
      </c>
      <c r="E437" s="91" t="s">
        <v>1488</v>
      </c>
      <c r="F437" s="91" t="n">
        <v>2004</v>
      </c>
      <c r="G437" s="91" t="n">
        <v>19000</v>
      </c>
      <c r="H437" s="91" t="n">
        <v>6685</v>
      </c>
      <c r="I437" s="91" t="s">
        <v>722</v>
      </c>
      <c r="J437" s="95" t="n">
        <v>44799</v>
      </c>
      <c r="K437" s="91" t="s">
        <v>529</v>
      </c>
      <c r="M437" s="91" t="s">
        <v>1489</v>
      </c>
      <c r="N437" s="91" t="s">
        <v>531</v>
      </c>
      <c r="O437" s="98" t="e">
        <f aca="false">CO_ORDINATES(N437)</f>
        <v>#VALUE!</v>
      </c>
      <c r="Q437" s="91" t="n">
        <v>1</v>
      </c>
    </row>
    <row r="438" s="91" customFormat="true" ht="12.75" hidden="false" customHeight="false" outlineLevel="0" collapsed="false">
      <c r="A438" s="91" t="s">
        <v>718</v>
      </c>
      <c r="B438" s="91" t="s">
        <v>1490</v>
      </c>
      <c r="C438" s="91" t="s">
        <v>727</v>
      </c>
      <c r="D438" s="91" t="s">
        <v>1113</v>
      </c>
      <c r="E438" s="91" t="s">
        <v>1114</v>
      </c>
      <c r="F438" s="91" t="n">
        <v>2007</v>
      </c>
      <c r="G438" s="91" t="n">
        <v>18600</v>
      </c>
      <c r="H438" s="91" t="n">
        <v>8150</v>
      </c>
      <c r="I438" s="91" t="s">
        <v>722</v>
      </c>
      <c r="J438" s="95" t="n">
        <v>44757</v>
      </c>
      <c r="K438" s="91" t="s">
        <v>529</v>
      </c>
      <c r="M438" s="91" t="s">
        <v>1489</v>
      </c>
      <c r="N438" s="91" t="s">
        <v>531</v>
      </c>
      <c r="O438" s="98" t="e">
        <f aca="false">CO_ORDINATES(N438)</f>
        <v>#VALUE!</v>
      </c>
      <c r="Q438" s="91" t="n">
        <v>1</v>
      </c>
    </row>
    <row r="439" s="91" customFormat="true" ht="12.75" hidden="false" customHeight="false" outlineLevel="0" collapsed="false">
      <c r="A439" s="91" t="s">
        <v>718</v>
      </c>
      <c r="B439" s="91" t="s">
        <v>1491</v>
      </c>
      <c r="C439" s="91" t="s">
        <v>771</v>
      </c>
      <c r="D439" s="91" t="s">
        <v>938</v>
      </c>
      <c r="E439" s="91" t="s">
        <v>524</v>
      </c>
      <c r="F439" s="91" t="n">
        <v>2005</v>
      </c>
      <c r="G439" s="91" t="n">
        <v>18000</v>
      </c>
      <c r="H439" s="91" t="n">
        <v>7090</v>
      </c>
      <c r="I439" s="91" t="s">
        <v>722</v>
      </c>
      <c r="J439" s="95" t="n">
        <v>45062</v>
      </c>
      <c r="K439" s="91" t="s">
        <v>529</v>
      </c>
      <c r="M439" s="91" t="s">
        <v>1489</v>
      </c>
      <c r="N439" s="91" t="s">
        <v>531</v>
      </c>
      <c r="O439" s="98" t="e">
        <f aca="false">CO_ORDINATES(N439)</f>
        <v>#VALUE!</v>
      </c>
      <c r="Q439" s="91" t="n">
        <v>1</v>
      </c>
    </row>
    <row r="440" customFormat="false" ht="12.75" hidden="false" customHeight="false" outlineLevel="0" collapsed="false">
      <c r="A440" s="91" t="s">
        <v>718</v>
      </c>
      <c r="B440" s="91" t="s">
        <v>1492</v>
      </c>
      <c r="C440" s="91" t="s">
        <v>727</v>
      </c>
      <c r="D440" s="91" t="s">
        <v>766</v>
      </c>
      <c r="E440" s="91" t="s">
        <v>767</v>
      </c>
      <c r="F440" s="91" t="n">
        <v>2003</v>
      </c>
      <c r="G440" s="91" t="n">
        <v>18000</v>
      </c>
      <c r="H440" s="91" t="n">
        <v>7800</v>
      </c>
      <c r="I440" s="91" t="s">
        <v>722</v>
      </c>
      <c r="J440" s="95" t="n">
        <v>45061</v>
      </c>
      <c r="K440" s="91" t="s">
        <v>529</v>
      </c>
      <c r="L440" s="91" t="s">
        <v>530</v>
      </c>
      <c r="M440" s="91" t="s">
        <v>1489</v>
      </c>
      <c r="N440" s="91" t="s">
        <v>531</v>
      </c>
      <c r="O440" s="98" t="e">
        <f aca="false">CO_ORDINATES(N440)</f>
        <v>#VALUE!</v>
      </c>
      <c r="Q440" s="91" t="n">
        <v>1</v>
      </c>
    </row>
    <row r="441" customFormat="false" ht="12.75" hidden="false" customHeight="false" outlineLevel="0" collapsed="false">
      <c r="A441" s="91" t="s">
        <v>718</v>
      </c>
      <c r="B441" s="91" t="s">
        <v>1493</v>
      </c>
      <c r="C441" s="91" t="s">
        <v>720</v>
      </c>
      <c r="D441" s="91" t="s">
        <v>721</v>
      </c>
      <c r="E441" s="91" t="s">
        <v>351</v>
      </c>
      <c r="F441" s="91" t="n">
        <v>2007</v>
      </c>
      <c r="G441" s="91" t="n">
        <v>20500</v>
      </c>
      <c r="H441" s="91" t="n">
        <v>8750</v>
      </c>
      <c r="I441" s="91" t="s">
        <v>722</v>
      </c>
      <c r="J441" s="95" t="n">
        <v>44797</v>
      </c>
      <c r="K441" s="91" t="s">
        <v>532</v>
      </c>
      <c r="L441" s="91" t="s">
        <v>351</v>
      </c>
      <c r="M441" s="91" t="s">
        <v>1494</v>
      </c>
      <c r="N441" s="91" t="s">
        <v>533</v>
      </c>
      <c r="O441" s="96" t="str">
        <f aca="false">CO_ORDINATES(N441)</f>
        <v>55.8877613,26.5542959</v>
      </c>
      <c r="Q441" s="91" t="n">
        <v>1</v>
      </c>
    </row>
    <row r="442" customFormat="false" ht="12.75" hidden="false" customHeight="false" outlineLevel="0" collapsed="false">
      <c r="A442" s="91" t="s">
        <v>718</v>
      </c>
      <c r="B442" s="91" t="s">
        <v>1495</v>
      </c>
      <c r="C442" s="91" t="s">
        <v>748</v>
      </c>
      <c r="D442" s="91" t="s">
        <v>749</v>
      </c>
      <c r="E442" s="91" t="s">
        <v>354</v>
      </c>
      <c r="F442" s="91" t="n">
        <v>2014</v>
      </c>
      <c r="G442" s="91" t="n">
        <v>18000</v>
      </c>
      <c r="H442" s="91" t="n">
        <v>8615</v>
      </c>
      <c r="I442" s="91" t="s">
        <v>722</v>
      </c>
      <c r="J442" s="95" t="n">
        <v>44741</v>
      </c>
      <c r="K442" s="91" t="s">
        <v>534</v>
      </c>
      <c r="L442" s="91" t="s">
        <v>354</v>
      </c>
      <c r="M442" s="91" t="s">
        <v>1496</v>
      </c>
      <c r="N442" s="91" t="s">
        <v>535</v>
      </c>
      <c r="O442" s="98" t="e">
        <f aca="false">CO_ORDINATES(N442)</f>
        <v>#VALUE!</v>
      </c>
      <c r="Q442" s="91" t="n">
        <v>1</v>
      </c>
    </row>
    <row r="443" customFormat="false" ht="12.75" hidden="false" customHeight="false" outlineLevel="0" collapsed="false">
      <c r="A443" s="91" t="s">
        <v>718</v>
      </c>
      <c r="B443" s="91" t="s">
        <v>1497</v>
      </c>
      <c r="C443" s="91" t="s">
        <v>731</v>
      </c>
      <c r="D443" s="91" t="s">
        <v>732</v>
      </c>
      <c r="E443" s="91" t="s">
        <v>200</v>
      </c>
      <c r="F443" s="91" t="n">
        <v>2007</v>
      </c>
      <c r="G443" s="91" t="n">
        <v>18000</v>
      </c>
      <c r="H443" s="91" t="n">
        <v>8300</v>
      </c>
      <c r="I443" s="91" t="s">
        <v>722</v>
      </c>
      <c r="J443" s="95" t="n">
        <v>44671</v>
      </c>
      <c r="K443" s="91" t="s">
        <v>536</v>
      </c>
      <c r="L443" s="91" t="s">
        <v>200</v>
      </c>
      <c r="M443" s="91" t="s">
        <v>1498</v>
      </c>
      <c r="N443" s="91" t="s">
        <v>537</v>
      </c>
      <c r="O443" s="96" t="str">
        <f aca="false">CO_ORDINATES(N443)</f>
        <v>55.8766561,26.557765</v>
      </c>
      <c r="Q443" s="91" t="n">
        <v>1</v>
      </c>
    </row>
    <row r="444" customFormat="false" ht="12.75" hidden="false" customHeight="false" outlineLevel="0" collapsed="false">
      <c r="A444" s="91" t="s">
        <v>718</v>
      </c>
      <c r="B444" s="91" t="s">
        <v>1499</v>
      </c>
      <c r="C444" s="91" t="s">
        <v>771</v>
      </c>
      <c r="D444" s="91" t="s">
        <v>898</v>
      </c>
      <c r="E444" s="91" t="s">
        <v>284</v>
      </c>
      <c r="F444" s="91" t="n">
        <v>2007</v>
      </c>
      <c r="G444" s="91" t="n">
        <v>19000</v>
      </c>
      <c r="H444" s="91" t="n">
        <v>7256</v>
      </c>
      <c r="I444" s="91" t="s">
        <v>722</v>
      </c>
      <c r="J444" s="95" t="n">
        <v>44715</v>
      </c>
      <c r="K444" s="91" t="s">
        <v>538</v>
      </c>
      <c r="L444" s="91" t="s">
        <v>284</v>
      </c>
      <c r="M444" s="91" t="s">
        <v>1500</v>
      </c>
      <c r="N444" s="91" t="s">
        <v>539</v>
      </c>
      <c r="O444" s="98" t="e">
        <f aca="false">CO_ORDINATES(N444)</f>
        <v>#VALUE!</v>
      </c>
      <c r="Q444" s="91" t="n">
        <v>1</v>
      </c>
    </row>
    <row r="445" customFormat="false" ht="12.75" hidden="false" customHeight="false" outlineLevel="0" collapsed="false">
      <c r="A445" s="91" t="s">
        <v>718</v>
      </c>
      <c r="B445" s="91" t="s">
        <v>1501</v>
      </c>
      <c r="C445" s="91" t="s">
        <v>727</v>
      </c>
      <c r="D445" s="91" t="s">
        <v>920</v>
      </c>
      <c r="E445" s="91" t="s">
        <v>298</v>
      </c>
      <c r="F445" s="91" t="n">
        <v>2010</v>
      </c>
      <c r="G445" s="91" t="n">
        <v>19000</v>
      </c>
      <c r="H445" s="91" t="n">
        <v>8160</v>
      </c>
      <c r="I445" s="91" t="s">
        <v>722</v>
      </c>
      <c r="J445" s="95" t="n">
        <v>45069</v>
      </c>
      <c r="K445" s="91" t="s">
        <v>540</v>
      </c>
      <c r="L445" s="91" t="s">
        <v>298</v>
      </c>
      <c r="M445" s="91" t="s">
        <v>1502</v>
      </c>
      <c r="N445" s="91" t="s">
        <v>541</v>
      </c>
      <c r="O445" s="98" t="e">
        <f aca="false">CO_ORDINATES(N445)</f>
        <v>#VALUE!</v>
      </c>
      <c r="Q445" s="91" t="n">
        <v>1</v>
      </c>
    </row>
    <row r="446" customFormat="false" ht="12.75" hidden="false" customHeight="false" outlineLevel="0" collapsed="false">
      <c r="A446" s="91" t="s">
        <v>718</v>
      </c>
      <c r="B446" s="91" t="s">
        <v>1503</v>
      </c>
      <c r="C446" s="91" t="s">
        <v>968</v>
      </c>
      <c r="D446" s="91" t="s">
        <v>1504</v>
      </c>
      <c r="E446" s="91" t="s">
        <v>1505</v>
      </c>
      <c r="F446" s="91" t="n">
        <v>2013</v>
      </c>
      <c r="G446" s="91" t="n">
        <v>18000</v>
      </c>
      <c r="H446" s="91" t="n">
        <v>7241</v>
      </c>
      <c r="I446" s="91" t="s">
        <v>722</v>
      </c>
      <c r="J446" s="95" t="n">
        <v>44903</v>
      </c>
      <c r="K446" s="91" t="s">
        <v>542</v>
      </c>
      <c r="L446" s="91" t="s">
        <v>1505</v>
      </c>
      <c r="M446" s="91" t="s">
        <v>1506</v>
      </c>
      <c r="N446" s="91" t="s">
        <v>545</v>
      </c>
      <c r="O446" s="98" t="e">
        <f aca="false">CO_ORDINATES(N446)</f>
        <v>#VALUE!</v>
      </c>
      <c r="Q446" s="91" t="n">
        <v>1</v>
      </c>
    </row>
    <row r="447" customFormat="false" ht="12.75" hidden="false" customHeight="false" outlineLevel="0" collapsed="false">
      <c r="A447" s="91" t="s">
        <v>718</v>
      </c>
      <c r="B447" s="91" t="s">
        <v>1507</v>
      </c>
      <c r="C447" s="91" t="s">
        <v>727</v>
      </c>
      <c r="D447" s="91" t="s">
        <v>786</v>
      </c>
      <c r="E447" s="91" t="s">
        <v>264</v>
      </c>
      <c r="F447" s="91" t="n">
        <v>2004</v>
      </c>
      <c r="G447" s="91" t="n">
        <v>18000</v>
      </c>
      <c r="H447" s="91" t="n">
        <v>8000</v>
      </c>
      <c r="I447" s="91" t="s">
        <v>722</v>
      </c>
      <c r="J447" s="95" t="n">
        <v>45008</v>
      </c>
      <c r="K447" s="91" t="s">
        <v>546</v>
      </c>
      <c r="L447" s="91" t="s">
        <v>264</v>
      </c>
      <c r="M447" s="91" t="s">
        <v>1508</v>
      </c>
      <c r="N447" s="91" t="s">
        <v>547</v>
      </c>
      <c r="O447" s="96" t="str">
        <f aca="false">CO_ORDINATES(N447)</f>
        <v>55.8537979,26.5548938</v>
      </c>
      <c r="Q447" s="91" t="n">
        <v>1</v>
      </c>
    </row>
    <row r="448" s="91" customFormat="true" ht="12.75" hidden="false" customHeight="false" outlineLevel="0" collapsed="false">
      <c r="E448" s="91" t="s">
        <v>1509</v>
      </c>
      <c r="J448" s="95"/>
      <c r="L448" s="91" t="s">
        <v>1509</v>
      </c>
    </row>
    <row r="449" s="91" customFormat="true" ht="12.75" hidden="false" customHeight="false" outlineLevel="0" collapsed="false">
      <c r="A449" s="90"/>
    </row>
    <row r="450" s="91" customFormat="true" ht="12.75" hidden="false" customHeight="false" outlineLevel="0" collapsed="false">
      <c r="A450" s="90"/>
    </row>
    <row r="451" s="91" customFormat="true" ht="12.75" hidden="false" customHeight="false" outlineLevel="0" collapsed="false">
      <c r="A451" s="90"/>
    </row>
    <row r="452" s="91" customFormat="true" ht="12.75" hidden="false" customHeight="false" outlineLevel="0" collapsed="false">
      <c r="A452" s="90"/>
    </row>
    <row r="453" s="91" customFormat="true" ht="12.75" hidden="false" customHeight="false" outlineLevel="0" collapsed="false">
      <c r="A453" s="90"/>
    </row>
    <row r="454" s="91" customFormat="true" ht="12.75" hidden="false" customHeight="false" outlineLevel="0" collapsed="false">
      <c r="A454" s="90"/>
    </row>
    <row r="455" s="91" customFormat="true" ht="12.75" hidden="false" customHeight="false" outlineLevel="0" collapsed="false">
      <c r="A455" s="90"/>
    </row>
    <row r="456" s="91" customFormat="true" ht="12.75" hidden="false" customHeight="false" outlineLevel="0" collapsed="false">
      <c r="A456" s="90"/>
    </row>
    <row r="457" s="91" customFormat="true" ht="12.75" hidden="false" customHeight="false" outlineLevel="0" collapsed="false">
      <c r="A457" s="90"/>
    </row>
    <row r="458" s="91" customFormat="true" ht="12.75" hidden="false" customHeight="false" outlineLevel="0" collapsed="false">
      <c r="A458" s="90"/>
    </row>
    <row r="459" s="91" customFormat="true" ht="12.75" hidden="false" customHeight="false" outlineLevel="0" collapsed="false">
      <c r="A459" s="90"/>
    </row>
    <row r="460" s="91" customFormat="true" ht="12.75" hidden="false" customHeight="false" outlineLevel="0" collapsed="false">
      <c r="A460" s="90"/>
    </row>
    <row r="461" s="91" customFormat="true" ht="12.75" hidden="false" customHeight="false" outlineLevel="0" collapsed="false">
      <c r="A461" s="90"/>
    </row>
    <row r="462" s="91" customFormat="true" ht="12.75" hidden="false" customHeight="false" outlineLevel="0" collapsed="false">
      <c r="A462" s="90"/>
    </row>
    <row r="463" s="91" customFormat="true" ht="12.75" hidden="false" customHeight="false" outlineLevel="0" collapsed="false">
      <c r="A463" s="90"/>
    </row>
    <row r="464" s="91" customFormat="true" ht="12.75" hidden="false" customHeight="false" outlineLevel="0" collapsed="false">
      <c r="A464" s="90"/>
    </row>
    <row r="465" s="91" customFormat="true" ht="12.75" hidden="false" customHeight="false" outlineLevel="0" collapsed="false">
      <c r="A465" s="90"/>
    </row>
    <row r="466" s="91" customFormat="true" ht="12.75" hidden="false" customHeight="false" outlineLevel="0" collapsed="false">
      <c r="A466" s="90"/>
    </row>
    <row r="467" s="91" customFormat="true" ht="12.75" hidden="false" customHeight="false" outlineLevel="0" collapsed="false">
      <c r="A467" s="90"/>
    </row>
    <row r="468" s="91" customFormat="true" ht="12.75" hidden="false" customHeight="false" outlineLevel="0" collapsed="false">
      <c r="A468" s="90"/>
    </row>
    <row r="469" s="91" customFormat="true" ht="12.75" hidden="false" customHeight="false" outlineLevel="0" collapsed="false">
      <c r="A469" s="90"/>
    </row>
    <row r="470" s="91" customFormat="true" ht="12.75" hidden="false" customHeight="false" outlineLevel="0" collapsed="false">
      <c r="A470" s="90"/>
    </row>
    <row r="471" s="91" customFormat="true" ht="12.75" hidden="false" customHeight="false" outlineLevel="0" collapsed="false">
      <c r="A471" s="90"/>
    </row>
    <row r="472" s="91" customFormat="true" ht="12.75" hidden="false" customHeight="false" outlineLevel="0" collapsed="false">
      <c r="A472" s="90"/>
    </row>
    <row r="473" s="91" customFormat="true" ht="12.75" hidden="false" customHeight="false" outlineLevel="0" collapsed="false">
      <c r="A473" s="90"/>
    </row>
    <row r="474" s="91" customFormat="true" ht="12.75" hidden="false" customHeight="false" outlineLevel="0" collapsed="false">
      <c r="A474" s="90"/>
    </row>
    <row r="475" s="91" customFormat="true" ht="12.75" hidden="false" customHeight="false" outlineLevel="0" collapsed="false">
      <c r="A475" s="90"/>
    </row>
    <row r="476" s="91" customFormat="true" ht="12.75" hidden="false" customHeight="false" outlineLevel="0" collapsed="false">
      <c r="A476" s="90"/>
    </row>
    <row r="477" s="91" customFormat="true" ht="12.75" hidden="false" customHeight="false" outlineLevel="0" collapsed="false">
      <c r="A477" s="90"/>
    </row>
    <row r="478" s="91" customFormat="true" ht="12.75" hidden="false" customHeight="false" outlineLevel="0" collapsed="false">
      <c r="A478" s="90"/>
    </row>
    <row r="479" s="91" customFormat="true" ht="12.75" hidden="false" customHeight="false" outlineLevel="0" collapsed="false">
      <c r="A479" s="90"/>
    </row>
    <row r="480" s="91" customFormat="true" ht="12.75" hidden="false" customHeight="false" outlineLevel="0" collapsed="false">
      <c r="A480" s="90"/>
    </row>
    <row r="481" s="91" customFormat="true" ht="12.75" hidden="false" customHeight="false" outlineLevel="0" collapsed="false">
      <c r="A481" s="90"/>
    </row>
    <row r="482" s="91" customFormat="true" ht="12.75" hidden="false" customHeight="false" outlineLevel="0" collapsed="false">
      <c r="A482" s="90"/>
    </row>
    <row r="483" s="91" customFormat="true" ht="12.75" hidden="false" customHeight="false" outlineLevel="0" collapsed="false">
      <c r="A483" s="90"/>
    </row>
    <row r="484" s="91" customFormat="true" ht="12.75" hidden="false" customHeight="false" outlineLevel="0" collapsed="false">
      <c r="A484" s="90"/>
    </row>
    <row r="485" s="91" customFormat="true" ht="12.75" hidden="false" customHeight="false" outlineLevel="0" collapsed="false">
      <c r="A485" s="90"/>
    </row>
    <row r="486" s="91" customFormat="true" ht="12.75" hidden="false" customHeight="false" outlineLevel="0" collapsed="false">
      <c r="A486" s="90"/>
    </row>
    <row r="487" s="91" customFormat="true" ht="12.75" hidden="false" customHeight="false" outlineLevel="0" collapsed="false">
      <c r="A487" s="90"/>
    </row>
    <row r="488" s="91" customFormat="true" ht="12.75" hidden="false" customHeight="false" outlineLevel="0" collapsed="false">
      <c r="A488" s="90"/>
    </row>
    <row r="489" s="91" customFormat="true" ht="12.75" hidden="false" customHeight="false" outlineLevel="0" collapsed="false">
      <c r="A489" s="90"/>
    </row>
    <row r="490" s="91" customFormat="true" ht="12.75" hidden="false" customHeight="false" outlineLevel="0" collapsed="false">
      <c r="A490" s="90"/>
    </row>
    <row r="491" s="91" customFormat="true" ht="12.75" hidden="false" customHeight="false" outlineLevel="0" collapsed="false">
      <c r="A491" s="90"/>
    </row>
    <row r="492" s="91" customFormat="true" ht="12.75" hidden="false" customHeight="false" outlineLevel="0" collapsed="false">
      <c r="A492" s="90"/>
    </row>
    <row r="493" s="91" customFormat="true" ht="12.75" hidden="false" customHeight="false" outlineLevel="0" collapsed="false">
      <c r="A493" s="90"/>
    </row>
    <row r="494" s="91" customFormat="true" ht="12.75" hidden="false" customHeight="false" outlineLevel="0" collapsed="false">
      <c r="A494" s="90"/>
    </row>
    <row r="495" s="91" customFormat="true" ht="12.75" hidden="false" customHeight="false" outlineLevel="0" collapsed="false">
      <c r="A495" s="90"/>
    </row>
    <row r="496" s="91" customFormat="true" ht="12.75" hidden="false" customHeight="false" outlineLevel="0" collapsed="false">
      <c r="A496" s="90"/>
    </row>
    <row r="497" s="91" customFormat="true" ht="12.75" hidden="false" customHeight="false" outlineLevel="0" collapsed="false">
      <c r="A497" s="90"/>
    </row>
    <row r="498" s="91" customFormat="true" ht="12.75" hidden="false" customHeight="false" outlineLevel="0" collapsed="false">
      <c r="A498" s="90"/>
    </row>
    <row r="499" s="91" customFormat="true" ht="12.75" hidden="false" customHeight="false" outlineLevel="0" collapsed="false">
      <c r="A499" s="90"/>
    </row>
    <row r="500" s="91" customFormat="true" ht="12.75" hidden="false" customHeight="false" outlineLevel="0" collapsed="false">
      <c r="A500" s="90"/>
    </row>
    <row r="501" s="91" customFormat="true" ht="12.75" hidden="false" customHeight="false" outlineLevel="0" collapsed="false">
      <c r="A501" s="90"/>
    </row>
    <row r="502" s="91" customFormat="true" ht="12.75" hidden="false" customHeight="false" outlineLevel="0" collapsed="false">
      <c r="A502" s="90"/>
    </row>
    <row r="503" s="91" customFormat="true" ht="12.75" hidden="false" customHeight="false" outlineLevel="0" collapsed="false">
      <c r="A503" s="90"/>
    </row>
    <row r="504" s="91" customFormat="true" ht="12.75" hidden="false" customHeight="false" outlineLevel="0" collapsed="false">
      <c r="A504" s="90"/>
    </row>
    <row r="505" s="91" customFormat="true" ht="12.75" hidden="false" customHeight="false" outlineLevel="0" collapsed="false">
      <c r="A505" s="90"/>
    </row>
    <row r="506" s="91" customFormat="true" ht="12.75" hidden="false" customHeight="false" outlineLevel="0" collapsed="false">
      <c r="A506" s="90"/>
    </row>
    <row r="507" s="91" customFormat="true" ht="12.75" hidden="false" customHeight="false" outlineLevel="0" collapsed="false">
      <c r="A507" s="90"/>
    </row>
    <row r="508" s="91" customFormat="true" ht="12.75" hidden="false" customHeight="false" outlineLevel="0" collapsed="false">
      <c r="A508" s="90"/>
    </row>
    <row r="509" s="91" customFormat="true" ht="12.75" hidden="false" customHeight="false" outlineLevel="0" collapsed="false">
      <c r="A509" s="90"/>
    </row>
    <row r="510" s="91" customFormat="true" ht="12.75" hidden="false" customHeight="false" outlineLevel="0" collapsed="false">
      <c r="A510" s="90"/>
    </row>
    <row r="511" s="91" customFormat="true" ht="12.75" hidden="false" customHeight="false" outlineLevel="0" collapsed="false">
      <c r="A511" s="90"/>
    </row>
    <row r="512" s="91" customFormat="true" ht="12.75" hidden="false" customHeight="false" outlineLevel="0" collapsed="false">
      <c r="A512" s="90"/>
    </row>
    <row r="513" s="91" customFormat="true" ht="12.75" hidden="false" customHeight="false" outlineLevel="0" collapsed="false">
      <c r="A513" s="90"/>
    </row>
    <row r="514" s="91" customFormat="true" ht="12.75" hidden="false" customHeight="false" outlineLevel="0" collapsed="false">
      <c r="A514" s="90"/>
    </row>
    <row r="515" s="91" customFormat="true" ht="12.75" hidden="false" customHeight="false" outlineLevel="0" collapsed="false">
      <c r="A515" s="90"/>
    </row>
    <row r="516" s="91" customFormat="true" ht="12.75" hidden="false" customHeight="false" outlineLevel="0" collapsed="false">
      <c r="A516" s="90"/>
    </row>
    <row r="517" s="91" customFormat="true" ht="12.75" hidden="false" customHeight="false" outlineLevel="0" collapsed="false">
      <c r="A517" s="90"/>
    </row>
    <row r="518" s="91" customFormat="true" ht="12.75" hidden="false" customHeight="false" outlineLevel="0" collapsed="false">
      <c r="A518" s="90"/>
    </row>
    <row r="519" s="91" customFormat="true" ht="12.75" hidden="false" customHeight="false" outlineLevel="0" collapsed="false">
      <c r="A519" s="90"/>
    </row>
    <row r="520" s="91" customFormat="true" ht="12.75" hidden="false" customHeight="false" outlineLevel="0" collapsed="false">
      <c r="A520" s="90"/>
    </row>
    <row r="521" s="91" customFormat="true" ht="12.75" hidden="false" customHeight="false" outlineLevel="0" collapsed="false">
      <c r="A521" s="90"/>
    </row>
    <row r="522" s="91" customFormat="true" ht="12.75" hidden="false" customHeight="false" outlineLevel="0" collapsed="false">
      <c r="A522" s="90"/>
    </row>
    <row r="523" s="91" customFormat="true" ht="12.75" hidden="false" customHeight="false" outlineLevel="0" collapsed="false">
      <c r="A523" s="90"/>
    </row>
    <row r="524" s="91" customFormat="true" ht="12.75" hidden="false" customHeight="false" outlineLevel="0" collapsed="false">
      <c r="A524" s="90"/>
    </row>
    <row r="525" s="91" customFormat="true" ht="12.75" hidden="false" customHeight="false" outlineLevel="0" collapsed="false">
      <c r="A525" s="90"/>
    </row>
    <row r="526" s="91" customFormat="true" ht="12.75" hidden="false" customHeight="false" outlineLevel="0" collapsed="false">
      <c r="A526" s="90"/>
    </row>
    <row r="527" s="91" customFormat="true" ht="12.75" hidden="false" customHeight="false" outlineLevel="0" collapsed="false">
      <c r="A527" s="90"/>
    </row>
    <row r="528" s="91" customFormat="true" ht="12.75" hidden="false" customHeight="false" outlineLevel="0" collapsed="false">
      <c r="A528" s="90"/>
    </row>
    <row r="529" s="91" customFormat="true" ht="12.75" hidden="false" customHeight="false" outlineLevel="0" collapsed="false">
      <c r="A529" s="90"/>
    </row>
    <row r="530" s="91" customFormat="true" ht="12.75" hidden="false" customHeight="false" outlineLevel="0" collapsed="false">
      <c r="A530" s="90"/>
    </row>
    <row r="531" s="91" customFormat="true" ht="12.75" hidden="false" customHeight="false" outlineLevel="0" collapsed="false">
      <c r="A531" s="90"/>
    </row>
    <row r="532" s="91" customFormat="true" ht="12.75" hidden="false" customHeight="false" outlineLevel="0" collapsed="false">
      <c r="A532" s="90"/>
    </row>
    <row r="533" s="91" customFormat="true" ht="12.75" hidden="false" customHeight="false" outlineLevel="0" collapsed="false">
      <c r="A533" s="90"/>
    </row>
    <row r="534" s="91" customFormat="true" ht="12.75" hidden="false" customHeight="false" outlineLevel="0" collapsed="false">
      <c r="A534" s="90"/>
    </row>
    <row r="535" s="91" customFormat="true" ht="12.75" hidden="false" customHeight="false" outlineLevel="0" collapsed="false">
      <c r="A535" s="90"/>
    </row>
    <row r="536" s="91" customFormat="true" ht="12.75" hidden="false" customHeight="false" outlineLevel="0" collapsed="false">
      <c r="A536" s="90"/>
    </row>
    <row r="537" s="91" customFormat="true" ht="12.75" hidden="false" customHeight="false" outlineLevel="0" collapsed="false">
      <c r="A537" s="90"/>
    </row>
    <row r="538" s="91" customFormat="true" ht="12.75" hidden="false" customHeight="false" outlineLevel="0" collapsed="false">
      <c r="A538" s="90"/>
    </row>
    <row r="539" s="91" customFormat="true" ht="12.75" hidden="false" customHeight="false" outlineLevel="0" collapsed="false">
      <c r="A539" s="90"/>
    </row>
    <row r="540" s="91" customFormat="true" ht="12.75" hidden="false" customHeight="false" outlineLevel="0" collapsed="false">
      <c r="A540" s="90"/>
    </row>
    <row r="541" s="91" customFormat="true" ht="12.75" hidden="false" customHeight="false" outlineLevel="0" collapsed="false">
      <c r="A541" s="90"/>
    </row>
    <row r="542" s="91" customFormat="true" ht="12.75" hidden="false" customHeight="false" outlineLevel="0" collapsed="false">
      <c r="A542" s="90"/>
    </row>
    <row r="543" s="91" customFormat="true" ht="12.75" hidden="false" customHeight="false" outlineLevel="0" collapsed="false">
      <c r="A543" s="90"/>
    </row>
    <row r="544" s="91" customFormat="true" ht="12.75" hidden="false" customHeight="false" outlineLevel="0" collapsed="false">
      <c r="A544" s="90"/>
    </row>
    <row r="545" s="91" customFormat="true" ht="12.75" hidden="false" customHeight="false" outlineLevel="0" collapsed="false">
      <c r="A545" s="90"/>
    </row>
    <row r="546" s="91" customFormat="true" ht="12.75" hidden="false" customHeight="false" outlineLevel="0" collapsed="false">
      <c r="A546" s="90"/>
    </row>
    <row r="547" s="91" customFormat="true" ht="12.75" hidden="false" customHeight="false" outlineLevel="0" collapsed="false">
      <c r="A547" s="90"/>
    </row>
    <row r="548" s="91" customFormat="true" ht="12.75" hidden="false" customHeight="false" outlineLevel="0" collapsed="false">
      <c r="A548" s="90"/>
    </row>
    <row r="549" s="91" customFormat="true" ht="12.75" hidden="false" customHeight="false" outlineLevel="0" collapsed="false">
      <c r="A549" s="90"/>
    </row>
    <row r="550" s="91" customFormat="true" ht="12.75" hidden="false" customHeight="false" outlineLevel="0" collapsed="false">
      <c r="A550" s="90"/>
    </row>
    <row r="551" s="91" customFormat="true" ht="12.75" hidden="false" customHeight="false" outlineLevel="0" collapsed="false">
      <c r="A551" s="90"/>
    </row>
    <row r="552" s="91" customFormat="true" ht="12.75" hidden="false" customHeight="false" outlineLevel="0" collapsed="false">
      <c r="A552" s="90"/>
    </row>
    <row r="553" s="91" customFormat="true" ht="12.75" hidden="false" customHeight="false" outlineLevel="0" collapsed="false">
      <c r="A553" s="90"/>
    </row>
    <row r="554" s="91" customFormat="true" ht="12.75" hidden="false" customHeight="false" outlineLevel="0" collapsed="false">
      <c r="A554" s="90"/>
    </row>
    <row r="555" s="91" customFormat="true" ht="12.75" hidden="false" customHeight="false" outlineLevel="0" collapsed="false">
      <c r="A555" s="90"/>
    </row>
    <row r="556" s="91" customFormat="true" ht="12.75" hidden="false" customHeight="false" outlineLevel="0" collapsed="false">
      <c r="A556" s="90"/>
    </row>
    <row r="557" s="91" customFormat="true" ht="12.75" hidden="false" customHeight="false" outlineLevel="0" collapsed="false">
      <c r="A557" s="90"/>
    </row>
    <row r="558" s="91" customFormat="true" ht="12.75" hidden="false" customHeight="false" outlineLevel="0" collapsed="false">
      <c r="A558" s="90"/>
    </row>
    <row r="559" s="91" customFormat="true" ht="12.75" hidden="false" customHeight="false" outlineLevel="0" collapsed="false">
      <c r="A559" s="90"/>
    </row>
    <row r="560" s="91" customFormat="true" ht="12.75" hidden="false" customHeight="false" outlineLevel="0" collapsed="false">
      <c r="A560" s="90"/>
    </row>
    <row r="561" s="91" customFormat="true" ht="12.75" hidden="false" customHeight="false" outlineLevel="0" collapsed="false">
      <c r="A561" s="90"/>
    </row>
    <row r="562" s="91" customFormat="true" ht="12.75" hidden="false" customHeight="false" outlineLevel="0" collapsed="false">
      <c r="A562" s="90"/>
    </row>
    <row r="563" s="91" customFormat="true" ht="12.75" hidden="false" customHeight="false" outlineLevel="0" collapsed="false">
      <c r="A563" s="90"/>
    </row>
    <row r="564" s="91" customFormat="true" ht="12.75" hidden="false" customHeight="false" outlineLevel="0" collapsed="false">
      <c r="A564" s="90"/>
    </row>
    <row r="565" s="91" customFormat="true" ht="12.75" hidden="false" customHeight="false" outlineLevel="0" collapsed="false">
      <c r="A565" s="90"/>
    </row>
    <row r="566" s="91" customFormat="true" ht="12.75" hidden="false" customHeight="false" outlineLevel="0" collapsed="false">
      <c r="A566" s="90"/>
    </row>
    <row r="567" s="91" customFormat="true" ht="12.75" hidden="false" customHeight="false" outlineLevel="0" collapsed="false">
      <c r="A567" s="90"/>
    </row>
    <row r="568" s="91" customFormat="true" ht="12.75" hidden="false" customHeight="false" outlineLevel="0" collapsed="false">
      <c r="A568" s="90"/>
    </row>
    <row r="569" s="91" customFormat="true" ht="12.75" hidden="false" customHeight="false" outlineLevel="0" collapsed="false">
      <c r="A569" s="90"/>
    </row>
    <row r="570" s="91" customFormat="true" ht="12.75" hidden="false" customHeight="false" outlineLevel="0" collapsed="false">
      <c r="A570" s="90"/>
    </row>
    <row r="571" s="91" customFormat="true" ht="12.75" hidden="false" customHeight="false" outlineLevel="0" collapsed="false">
      <c r="A571" s="90"/>
    </row>
    <row r="572" s="91" customFormat="true" ht="12.75" hidden="false" customHeight="false" outlineLevel="0" collapsed="false">
      <c r="A572" s="90"/>
    </row>
    <row r="573" s="91" customFormat="true" ht="12.75" hidden="false" customHeight="false" outlineLevel="0" collapsed="false">
      <c r="A573" s="90"/>
    </row>
    <row r="574" s="91" customFormat="true" ht="12.75" hidden="false" customHeight="false" outlineLevel="0" collapsed="false">
      <c r="A574" s="90"/>
    </row>
    <row r="575" s="91" customFormat="true" ht="12.75" hidden="false" customHeight="false" outlineLevel="0" collapsed="false">
      <c r="A575" s="90"/>
    </row>
    <row r="576" s="91" customFormat="true" ht="12.75" hidden="false" customHeight="false" outlineLevel="0" collapsed="false">
      <c r="A576" s="90"/>
    </row>
    <row r="577" s="91" customFormat="true" ht="12.75" hidden="false" customHeight="false" outlineLevel="0" collapsed="false">
      <c r="A577" s="90"/>
    </row>
    <row r="578" s="91" customFormat="true" ht="12.75" hidden="false" customHeight="false" outlineLevel="0" collapsed="false">
      <c r="A578" s="90"/>
    </row>
    <row r="579" s="91" customFormat="true" ht="12.75" hidden="false" customHeight="false" outlineLevel="0" collapsed="false">
      <c r="A579" s="90"/>
    </row>
    <row r="580" s="91" customFormat="true" ht="12.75" hidden="false" customHeight="false" outlineLevel="0" collapsed="false">
      <c r="A580" s="90"/>
    </row>
    <row r="581" s="91" customFormat="true" ht="12.75" hidden="false" customHeight="false" outlineLevel="0" collapsed="false">
      <c r="A581" s="90"/>
    </row>
    <row r="582" s="91" customFormat="true" ht="12.75" hidden="false" customHeight="false" outlineLevel="0" collapsed="false">
      <c r="A582" s="90"/>
    </row>
    <row r="583" s="91" customFormat="true" ht="12.75" hidden="false" customHeight="false" outlineLevel="0" collapsed="false">
      <c r="A583" s="90"/>
    </row>
    <row r="584" s="91" customFormat="true" ht="12.75" hidden="false" customHeight="false" outlineLevel="0" collapsed="false">
      <c r="A584" s="90"/>
    </row>
    <row r="585" s="91" customFormat="true" ht="12.75" hidden="false" customHeight="false" outlineLevel="0" collapsed="false">
      <c r="A585" s="90"/>
    </row>
    <row r="586" s="91" customFormat="true" ht="12.75" hidden="false" customHeight="false" outlineLevel="0" collapsed="false">
      <c r="A586" s="90"/>
    </row>
    <row r="587" s="91" customFormat="true" ht="12.75" hidden="false" customHeight="false" outlineLevel="0" collapsed="false">
      <c r="A587" s="90"/>
    </row>
    <row r="588" s="91" customFormat="true" ht="12.75" hidden="false" customHeight="false" outlineLevel="0" collapsed="false">
      <c r="A588" s="90"/>
    </row>
    <row r="589" s="91" customFormat="true" ht="12.75" hidden="false" customHeight="false" outlineLevel="0" collapsed="false">
      <c r="A589" s="90"/>
    </row>
    <row r="590" s="91" customFormat="true" ht="12.75" hidden="false" customHeight="false" outlineLevel="0" collapsed="false">
      <c r="A590" s="90"/>
    </row>
    <row r="591" s="91" customFormat="true" ht="12.75" hidden="false" customHeight="false" outlineLevel="0" collapsed="false">
      <c r="A591" s="90"/>
    </row>
    <row r="592" s="91" customFormat="true" ht="12.75" hidden="false" customHeight="false" outlineLevel="0" collapsed="false">
      <c r="A592" s="90"/>
    </row>
    <row r="593" s="91" customFormat="true" ht="12.75" hidden="false" customHeight="false" outlineLevel="0" collapsed="false">
      <c r="A593" s="90"/>
    </row>
    <row r="594" s="91" customFormat="true" ht="12.75" hidden="false" customHeight="false" outlineLevel="0" collapsed="false">
      <c r="A594" s="90"/>
    </row>
    <row r="595" s="91" customFormat="true" ht="12.75" hidden="false" customHeight="false" outlineLevel="0" collapsed="false">
      <c r="A595" s="90"/>
    </row>
    <row r="596" s="91" customFormat="true" ht="12.75" hidden="false" customHeight="false" outlineLevel="0" collapsed="false">
      <c r="A596" s="90"/>
    </row>
    <row r="597" s="91" customFormat="true" ht="12.75" hidden="false" customHeight="false" outlineLevel="0" collapsed="false">
      <c r="A597" s="90"/>
    </row>
    <row r="598" s="91" customFormat="true" ht="12.75" hidden="false" customHeight="false" outlineLevel="0" collapsed="false">
      <c r="A598" s="90"/>
    </row>
    <row r="599" s="91" customFormat="true" ht="12.75" hidden="false" customHeight="false" outlineLevel="0" collapsed="false">
      <c r="A599" s="90"/>
    </row>
    <row r="600" s="91" customFormat="true" ht="12.75" hidden="false" customHeight="false" outlineLevel="0" collapsed="false">
      <c r="A600" s="90"/>
    </row>
    <row r="601" s="91" customFormat="true" ht="12.75" hidden="false" customHeight="false" outlineLevel="0" collapsed="false">
      <c r="A601" s="90"/>
    </row>
    <row r="602" s="91" customFormat="true" ht="12.75" hidden="false" customHeight="false" outlineLevel="0" collapsed="false">
      <c r="A602" s="90"/>
    </row>
    <row r="603" s="91" customFormat="true" ht="12.75" hidden="false" customHeight="false" outlineLevel="0" collapsed="false">
      <c r="A603" s="90"/>
    </row>
    <row r="604" s="91" customFormat="true" ht="12.75" hidden="false" customHeight="false" outlineLevel="0" collapsed="false">
      <c r="A604" s="90"/>
    </row>
    <row r="605" s="91" customFormat="true" ht="12.75" hidden="false" customHeight="false" outlineLevel="0" collapsed="false">
      <c r="A605" s="90"/>
    </row>
    <row r="606" s="91" customFormat="true" ht="12.75" hidden="false" customHeight="false" outlineLevel="0" collapsed="false">
      <c r="A606" s="90"/>
    </row>
    <row r="607" s="91" customFormat="true" ht="12.75" hidden="false" customHeight="false" outlineLevel="0" collapsed="false">
      <c r="A607" s="90"/>
    </row>
    <row r="608" s="91" customFormat="true" ht="12.75" hidden="false" customHeight="false" outlineLevel="0" collapsed="false">
      <c r="A608" s="90"/>
    </row>
    <row r="609" s="91" customFormat="true" ht="12.75" hidden="false" customHeight="false" outlineLevel="0" collapsed="false">
      <c r="A609" s="90"/>
    </row>
    <row r="610" s="91" customFormat="true" ht="12.75" hidden="false" customHeight="false" outlineLevel="0" collapsed="false">
      <c r="A610" s="90"/>
    </row>
    <row r="611" s="91" customFormat="true" ht="12.75" hidden="false" customHeight="false" outlineLevel="0" collapsed="false">
      <c r="A611" s="90"/>
    </row>
    <row r="612" s="91" customFormat="true" ht="12.75" hidden="false" customHeight="false" outlineLevel="0" collapsed="false">
      <c r="A612" s="90"/>
    </row>
    <row r="613" s="91" customFormat="true" ht="12.75" hidden="false" customHeight="false" outlineLevel="0" collapsed="false">
      <c r="A613" s="90"/>
    </row>
    <row r="614" s="91" customFormat="true" ht="12.75" hidden="false" customHeight="false" outlineLevel="0" collapsed="false">
      <c r="A614" s="90"/>
    </row>
    <row r="615" s="91" customFormat="true" ht="12.75" hidden="false" customHeight="false" outlineLevel="0" collapsed="false">
      <c r="A615" s="90"/>
    </row>
    <row r="616" s="91" customFormat="true" ht="12.75" hidden="false" customHeight="false" outlineLevel="0" collapsed="false">
      <c r="A616" s="90"/>
    </row>
    <row r="617" s="91" customFormat="true" ht="12.75" hidden="false" customHeight="false" outlineLevel="0" collapsed="false">
      <c r="A617" s="90"/>
    </row>
    <row r="618" s="91" customFormat="true" ht="12.75" hidden="false" customHeight="false" outlineLevel="0" collapsed="false">
      <c r="A618" s="90"/>
    </row>
    <row r="619" s="91" customFormat="true" ht="12.75" hidden="false" customHeight="false" outlineLevel="0" collapsed="false">
      <c r="A619" s="90"/>
    </row>
    <row r="620" s="91" customFormat="true" ht="12.75" hidden="false" customHeight="false" outlineLevel="0" collapsed="false">
      <c r="A620" s="90"/>
    </row>
    <row r="621" s="91" customFormat="true" ht="12.75" hidden="false" customHeight="false" outlineLevel="0" collapsed="false">
      <c r="A621" s="90"/>
    </row>
    <row r="622" s="91" customFormat="true" ht="12.75" hidden="false" customHeight="false" outlineLevel="0" collapsed="false">
      <c r="A622" s="90"/>
    </row>
    <row r="623" s="91" customFormat="true" ht="12.75" hidden="false" customHeight="false" outlineLevel="0" collapsed="false">
      <c r="A623" s="90"/>
    </row>
    <row r="624" s="91" customFormat="true" ht="12.75" hidden="false" customHeight="false" outlineLevel="0" collapsed="false">
      <c r="A624" s="90"/>
    </row>
    <row r="625" s="91" customFormat="true" ht="12.75" hidden="false" customHeight="false" outlineLevel="0" collapsed="false">
      <c r="A625" s="90"/>
    </row>
    <row r="626" s="91" customFormat="true" ht="12.75" hidden="false" customHeight="false" outlineLevel="0" collapsed="false">
      <c r="A626" s="90"/>
    </row>
    <row r="627" s="91" customFormat="true" ht="12.75" hidden="false" customHeight="false" outlineLevel="0" collapsed="false">
      <c r="A627" s="90"/>
    </row>
    <row r="628" s="91" customFormat="true" ht="12.75" hidden="false" customHeight="false" outlineLevel="0" collapsed="false">
      <c r="A628" s="90"/>
    </row>
    <row r="629" s="91" customFormat="true" ht="12.75" hidden="false" customHeight="false" outlineLevel="0" collapsed="false">
      <c r="A629" s="90"/>
    </row>
    <row r="630" s="91" customFormat="true" ht="12.75" hidden="false" customHeight="false" outlineLevel="0" collapsed="false">
      <c r="A630" s="90"/>
    </row>
    <row r="631" s="91" customFormat="true" ht="12.75" hidden="false" customHeight="false" outlineLevel="0" collapsed="false">
      <c r="A631" s="90"/>
    </row>
    <row r="632" s="91" customFormat="true" ht="12.75" hidden="false" customHeight="false" outlineLevel="0" collapsed="false">
      <c r="A632" s="90"/>
    </row>
    <row r="633" s="91" customFormat="true" ht="12.75" hidden="false" customHeight="false" outlineLevel="0" collapsed="false">
      <c r="A633" s="90"/>
    </row>
    <row r="634" s="91" customFormat="true" ht="12.75" hidden="false" customHeight="false" outlineLevel="0" collapsed="false">
      <c r="A634" s="90"/>
    </row>
    <row r="635" s="91" customFormat="true" ht="12.75" hidden="false" customHeight="false" outlineLevel="0" collapsed="false">
      <c r="A635" s="90"/>
    </row>
    <row r="636" s="91" customFormat="true" ht="12.75" hidden="false" customHeight="false" outlineLevel="0" collapsed="false">
      <c r="A636" s="90"/>
    </row>
    <row r="637" s="91" customFormat="true" ht="12.75" hidden="false" customHeight="false" outlineLevel="0" collapsed="false">
      <c r="A637" s="90"/>
    </row>
    <row r="638" s="91" customFormat="true" ht="12.75" hidden="false" customHeight="false" outlineLevel="0" collapsed="false">
      <c r="A638" s="90"/>
    </row>
    <row r="639" s="91" customFormat="true" ht="12.75" hidden="false" customHeight="false" outlineLevel="0" collapsed="false">
      <c r="A639" s="90"/>
    </row>
    <row r="640" s="91" customFormat="true" ht="12.75" hidden="false" customHeight="false" outlineLevel="0" collapsed="false">
      <c r="A640" s="90"/>
    </row>
    <row r="641" s="91" customFormat="true" ht="12.75" hidden="false" customHeight="false" outlineLevel="0" collapsed="false">
      <c r="A641" s="90"/>
    </row>
    <row r="642" s="91" customFormat="true" ht="12.75" hidden="false" customHeight="false" outlineLevel="0" collapsed="false">
      <c r="A642" s="90"/>
    </row>
    <row r="643" s="91" customFormat="true" ht="12.75" hidden="false" customHeight="false" outlineLevel="0" collapsed="false">
      <c r="A643" s="90"/>
    </row>
    <row r="644" s="91" customFormat="true" ht="12.75" hidden="false" customHeight="false" outlineLevel="0" collapsed="false">
      <c r="A644" s="90"/>
    </row>
    <row r="645" s="91" customFormat="true" ht="12.75" hidden="false" customHeight="false" outlineLevel="0" collapsed="false">
      <c r="A645" s="90"/>
    </row>
    <row r="646" s="91" customFormat="true" ht="12.75" hidden="false" customHeight="false" outlineLevel="0" collapsed="false">
      <c r="A646" s="90"/>
    </row>
    <row r="647" s="91" customFormat="true" ht="12.75" hidden="false" customHeight="false" outlineLevel="0" collapsed="false">
      <c r="A647" s="90"/>
    </row>
    <row r="648" s="91" customFormat="true" ht="12.75" hidden="false" customHeight="false" outlineLevel="0" collapsed="false">
      <c r="A648" s="90"/>
    </row>
    <row r="649" s="91" customFormat="true" ht="12.75" hidden="false" customHeight="false" outlineLevel="0" collapsed="false">
      <c r="A649" s="90"/>
    </row>
    <row r="650" s="91" customFormat="true" ht="12.75" hidden="false" customHeight="false" outlineLevel="0" collapsed="false">
      <c r="A650" s="90"/>
    </row>
    <row r="651" s="91" customFormat="true" ht="12.75" hidden="false" customHeight="false" outlineLevel="0" collapsed="false">
      <c r="A651" s="90"/>
    </row>
    <row r="652" s="91" customFormat="true" ht="12.75" hidden="false" customHeight="false" outlineLevel="0" collapsed="false">
      <c r="A652" s="90"/>
    </row>
    <row r="653" s="91" customFormat="true" ht="12.75" hidden="false" customHeight="false" outlineLevel="0" collapsed="false">
      <c r="A653" s="90"/>
    </row>
    <row r="654" s="91" customFormat="true" ht="12.75" hidden="false" customHeight="false" outlineLevel="0" collapsed="false">
      <c r="A654" s="90"/>
    </row>
    <row r="655" s="91" customFormat="true" ht="12.75" hidden="false" customHeight="false" outlineLevel="0" collapsed="false">
      <c r="A655" s="90"/>
    </row>
    <row r="656" s="91" customFormat="true" ht="12.75" hidden="false" customHeight="false" outlineLevel="0" collapsed="false">
      <c r="A656" s="90"/>
    </row>
    <row r="657" s="91" customFormat="true" ht="12.75" hidden="false" customHeight="false" outlineLevel="0" collapsed="false">
      <c r="A657" s="90"/>
    </row>
    <row r="658" s="91" customFormat="true" ht="12.75" hidden="false" customHeight="false" outlineLevel="0" collapsed="false">
      <c r="A658" s="90"/>
    </row>
    <row r="659" s="91" customFormat="true" ht="12.75" hidden="false" customHeight="false" outlineLevel="0" collapsed="false">
      <c r="A659" s="90"/>
    </row>
    <row r="660" s="91" customFormat="true" ht="12.75" hidden="false" customHeight="false" outlineLevel="0" collapsed="false">
      <c r="A660" s="90"/>
    </row>
    <row r="661" s="91" customFormat="true" ht="12.75" hidden="false" customHeight="false" outlineLevel="0" collapsed="false">
      <c r="A661" s="90"/>
    </row>
    <row r="662" s="91" customFormat="true" ht="12.75" hidden="false" customHeight="false" outlineLevel="0" collapsed="false">
      <c r="A662" s="90"/>
    </row>
    <row r="663" s="91" customFormat="true" ht="12.75" hidden="false" customHeight="false" outlineLevel="0" collapsed="false">
      <c r="A663" s="90"/>
    </row>
    <row r="664" s="91" customFormat="true" ht="12.75" hidden="false" customHeight="false" outlineLevel="0" collapsed="false">
      <c r="A664" s="90"/>
    </row>
    <row r="665" s="91" customFormat="true" ht="12.75" hidden="false" customHeight="false" outlineLevel="0" collapsed="false">
      <c r="A665" s="90"/>
    </row>
    <row r="666" s="91" customFormat="true" ht="12.75" hidden="false" customHeight="false" outlineLevel="0" collapsed="false">
      <c r="A666" s="90"/>
    </row>
    <row r="667" s="91" customFormat="true" ht="12.75" hidden="false" customHeight="false" outlineLevel="0" collapsed="false">
      <c r="A667" s="90"/>
    </row>
    <row r="668" s="91" customFormat="true" ht="12.75" hidden="false" customHeight="false" outlineLevel="0" collapsed="false">
      <c r="A668" s="90"/>
    </row>
    <row r="669" s="91" customFormat="true" ht="12.75" hidden="false" customHeight="false" outlineLevel="0" collapsed="false">
      <c r="A669" s="90"/>
    </row>
    <row r="670" s="91" customFormat="true" ht="12.75" hidden="false" customHeight="false" outlineLevel="0" collapsed="false">
      <c r="A670" s="90"/>
    </row>
    <row r="671" s="91" customFormat="true" ht="12.75" hidden="false" customHeight="false" outlineLevel="0" collapsed="false">
      <c r="A671" s="90"/>
    </row>
    <row r="672" s="91" customFormat="true" ht="12.75" hidden="false" customHeight="false" outlineLevel="0" collapsed="false">
      <c r="A672" s="90"/>
    </row>
    <row r="673" s="91" customFormat="true" ht="12.75" hidden="false" customHeight="false" outlineLevel="0" collapsed="false">
      <c r="A673" s="90"/>
    </row>
    <row r="674" s="91" customFormat="true" ht="12.75" hidden="false" customHeight="false" outlineLevel="0" collapsed="false">
      <c r="A674" s="90"/>
    </row>
    <row r="675" s="91" customFormat="true" ht="12.75" hidden="false" customHeight="false" outlineLevel="0" collapsed="false">
      <c r="A675" s="90"/>
    </row>
    <row r="676" s="91" customFormat="true" ht="12.75" hidden="false" customHeight="false" outlineLevel="0" collapsed="false">
      <c r="A676" s="90"/>
    </row>
    <row r="677" s="91" customFormat="true" ht="12.75" hidden="false" customHeight="false" outlineLevel="0" collapsed="false">
      <c r="A677" s="90"/>
    </row>
    <row r="678" s="91" customFormat="true" ht="12.75" hidden="false" customHeight="false" outlineLevel="0" collapsed="false">
      <c r="A678" s="90"/>
    </row>
    <row r="679" s="91" customFormat="true" ht="12.75" hidden="false" customHeight="false" outlineLevel="0" collapsed="false">
      <c r="A679" s="90"/>
    </row>
    <row r="680" s="91" customFormat="true" ht="12.75" hidden="false" customHeight="false" outlineLevel="0" collapsed="false">
      <c r="A680" s="90"/>
    </row>
    <row r="681" s="91" customFormat="true" ht="12.75" hidden="false" customHeight="false" outlineLevel="0" collapsed="false">
      <c r="A681" s="90"/>
    </row>
    <row r="682" s="91" customFormat="true" ht="12.75" hidden="false" customHeight="false" outlineLevel="0" collapsed="false">
      <c r="A682" s="90"/>
    </row>
    <row r="683" s="91" customFormat="true" ht="12.75" hidden="false" customHeight="false" outlineLevel="0" collapsed="false">
      <c r="A683" s="90"/>
    </row>
    <row r="684" s="91" customFormat="true" ht="12.75" hidden="false" customHeight="false" outlineLevel="0" collapsed="false">
      <c r="A684" s="90"/>
    </row>
    <row r="685" s="91" customFormat="true" ht="12.75" hidden="false" customHeight="false" outlineLevel="0" collapsed="false">
      <c r="A685" s="90"/>
    </row>
    <row r="686" s="91" customFormat="true" ht="12.75" hidden="false" customHeight="false" outlineLevel="0" collapsed="false">
      <c r="A686" s="90"/>
    </row>
    <row r="687" s="91" customFormat="true" ht="12.75" hidden="false" customHeight="false" outlineLevel="0" collapsed="false">
      <c r="A687" s="90"/>
    </row>
    <row r="688" s="91" customFormat="true" ht="12.75" hidden="false" customHeight="false" outlineLevel="0" collapsed="false">
      <c r="A688" s="90"/>
    </row>
    <row r="689" s="91" customFormat="true" ht="12.75" hidden="false" customHeight="false" outlineLevel="0" collapsed="false">
      <c r="A689" s="90"/>
    </row>
    <row r="690" s="91" customFormat="true" ht="12.75" hidden="false" customHeight="false" outlineLevel="0" collapsed="false">
      <c r="A690" s="90"/>
    </row>
    <row r="691" s="91" customFormat="true" ht="12.75" hidden="false" customHeight="false" outlineLevel="0" collapsed="false">
      <c r="A691" s="90"/>
    </row>
    <row r="692" s="91" customFormat="true" ht="12.75" hidden="false" customHeight="false" outlineLevel="0" collapsed="false">
      <c r="A692" s="90"/>
    </row>
    <row r="693" s="91" customFormat="true" ht="12.75" hidden="false" customHeight="false" outlineLevel="0" collapsed="false">
      <c r="A693" s="90"/>
    </row>
    <row r="694" s="91" customFormat="true" ht="12.75" hidden="false" customHeight="false" outlineLevel="0" collapsed="false">
      <c r="A694" s="90"/>
    </row>
    <row r="695" s="91" customFormat="true" ht="12.75" hidden="false" customHeight="false" outlineLevel="0" collapsed="false">
      <c r="A695" s="90"/>
    </row>
    <row r="696" s="91" customFormat="true" ht="12.75" hidden="false" customHeight="false" outlineLevel="0" collapsed="false">
      <c r="A696" s="90"/>
    </row>
    <row r="697" s="91" customFormat="true" ht="12.75" hidden="false" customHeight="false" outlineLevel="0" collapsed="false">
      <c r="A697" s="90"/>
    </row>
    <row r="698" s="91" customFormat="true" ht="12.75" hidden="false" customHeight="false" outlineLevel="0" collapsed="false">
      <c r="A698" s="90"/>
    </row>
    <row r="699" s="91" customFormat="true" ht="12.75" hidden="false" customHeight="false" outlineLevel="0" collapsed="false">
      <c r="A699" s="90"/>
    </row>
    <row r="700" s="91" customFormat="true" ht="12.75" hidden="false" customHeight="false" outlineLevel="0" collapsed="false">
      <c r="A700" s="90"/>
    </row>
    <row r="701" s="91" customFormat="true" ht="12.75" hidden="false" customHeight="false" outlineLevel="0" collapsed="false">
      <c r="A701" s="90"/>
    </row>
    <row r="702" s="91" customFormat="true" ht="12.75" hidden="false" customHeight="false" outlineLevel="0" collapsed="false">
      <c r="A702" s="90"/>
    </row>
    <row r="703" s="91" customFormat="true" ht="12.75" hidden="false" customHeight="false" outlineLevel="0" collapsed="false">
      <c r="A703" s="90"/>
    </row>
    <row r="704" s="91" customFormat="true" ht="12.75" hidden="false" customHeight="false" outlineLevel="0" collapsed="false">
      <c r="A704" s="90"/>
    </row>
    <row r="705" s="91" customFormat="true" ht="12.75" hidden="false" customHeight="false" outlineLevel="0" collapsed="false">
      <c r="A705" s="90"/>
    </row>
    <row r="706" s="91" customFormat="true" ht="12.75" hidden="false" customHeight="false" outlineLevel="0" collapsed="false">
      <c r="A706" s="90"/>
    </row>
    <row r="707" s="91" customFormat="true" ht="12.75" hidden="false" customHeight="false" outlineLevel="0" collapsed="false">
      <c r="A707" s="90"/>
    </row>
    <row r="708" s="91" customFormat="true" ht="12.75" hidden="false" customHeight="false" outlineLevel="0" collapsed="false">
      <c r="A708" s="90"/>
    </row>
    <row r="709" s="91" customFormat="true" ht="12.75" hidden="false" customHeight="false" outlineLevel="0" collapsed="false">
      <c r="A709" s="90"/>
    </row>
    <row r="710" s="91" customFormat="true" ht="12.75" hidden="false" customHeight="false" outlineLevel="0" collapsed="false">
      <c r="A710" s="90"/>
    </row>
    <row r="711" s="91" customFormat="true" ht="12.75" hidden="false" customHeight="false" outlineLevel="0" collapsed="false">
      <c r="A711" s="90"/>
    </row>
    <row r="712" s="91" customFormat="true" ht="12.75" hidden="false" customHeight="false" outlineLevel="0" collapsed="false">
      <c r="A712" s="90"/>
    </row>
    <row r="713" s="91" customFormat="true" ht="12.75" hidden="false" customHeight="false" outlineLevel="0" collapsed="false">
      <c r="A713" s="90"/>
    </row>
    <row r="714" s="91" customFormat="true" ht="12.75" hidden="false" customHeight="false" outlineLevel="0" collapsed="false">
      <c r="A714" s="90"/>
    </row>
    <row r="715" s="91" customFormat="true" ht="12.75" hidden="false" customHeight="false" outlineLevel="0" collapsed="false">
      <c r="A715" s="90"/>
    </row>
    <row r="716" s="91" customFormat="true" ht="12.75" hidden="false" customHeight="false" outlineLevel="0" collapsed="false">
      <c r="A716" s="90"/>
    </row>
    <row r="717" s="91" customFormat="true" ht="12.75" hidden="false" customHeight="false" outlineLevel="0" collapsed="false">
      <c r="A717" s="90"/>
    </row>
    <row r="718" s="91" customFormat="true" ht="12.75" hidden="false" customHeight="false" outlineLevel="0" collapsed="false">
      <c r="A718" s="90"/>
    </row>
    <row r="719" s="91" customFormat="true" ht="12.75" hidden="false" customHeight="false" outlineLevel="0" collapsed="false">
      <c r="A719" s="90"/>
    </row>
    <row r="720" s="91" customFormat="true" ht="12.75" hidden="false" customHeight="false" outlineLevel="0" collapsed="false">
      <c r="A720" s="90"/>
    </row>
    <row r="721" s="91" customFormat="true" ht="12.75" hidden="false" customHeight="false" outlineLevel="0" collapsed="false">
      <c r="A721" s="90"/>
    </row>
    <row r="722" s="91" customFormat="true" ht="12.75" hidden="false" customHeight="false" outlineLevel="0" collapsed="false">
      <c r="A722" s="90"/>
    </row>
    <row r="723" s="91" customFormat="true" ht="12.75" hidden="false" customHeight="false" outlineLevel="0" collapsed="false">
      <c r="A723" s="90"/>
    </row>
    <row r="724" s="91" customFormat="true" ht="12.75" hidden="false" customHeight="false" outlineLevel="0" collapsed="false">
      <c r="A724" s="90"/>
    </row>
    <row r="725" s="91" customFormat="true" ht="12.75" hidden="false" customHeight="false" outlineLevel="0" collapsed="false">
      <c r="A725" s="90"/>
    </row>
    <row r="726" s="91" customFormat="true" ht="12.75" hidden="false" customHeight="false" outlineLevel="0" collapsed="false">
      <c r="A726" s="90"/>
    </row>
    <row r="727" s="91" customFormat="true" ht="12.75" hidden="false" customHeight="false" outlineLevel="0" collapsed="false">
      <c r="A727" s="90"/>
    </row>
    <row r="728" s="91" customFormat="true" ht="12.75" hidden="false" customHeight="false" outlineLevel="0" collapsed="false">
      <c r="A728" s="90"/>
    </row>
    <row r="729" s="91" customFormat="true" ht="12.75" hidden="false" customHeight="false" outlineLevel="0" collapsed="false">
      <c r="A729" s="90"/>
    </row>
    <row r="730" s="91" customFormat="true" ht="12.75" hidden="false" customHeight="false" outlineLevel="0" collapsed="false">
      <c r="A730" s="90"/>
    </row>
    <row r="731" s="91" customFormat="true" ht="12.75" hidden="false" customHeight="false" outlineLevel="0" collapsed="false">
      <c r="A731" s="90"/>
    </row>
    <row r="732" s="91" customFormat="true" ht="12.75" hidden="false" customHeight="false" outlineLevel="0" collapsed="false">
      <c r="A732" s="90"/>
    </row>
    <row r="733" s="91" customFormat="true" ht="12.75" hidden="false" customHeight="false" outlineLevel="0" collapsed="false">
      <c r="A733" s="90"/>
    </row>
    <row r="734" s="91" customFormat="true" ht="12.75" hidden="false" customHeight="false" outlineLevel="0" collapsed="false">
      <c r="A734" s="90"/>
    </row>
    <row r="735" s="91" customFormat="true" ht="12.75" hidden="false" customHeight="false" outlineLevel="0" collapsed="false">
      <c r="A735" s="90"/>
    </row>
    <row r="736" s="91" customFormat="true" ht="12.75" hidden="false" customHeight="false" outlineLevel="0" collapsed="false">
      <c r="A736" s="90"/>
    </row>
    <row r="737" s="91" customFormat="true" ht="12.75" hidden="false" customHeight="false" outlineLevel="0" collapsed="false">
      <c r="A737" s="90"/>
    </row>
    <row r="738" s="91" customFormat="true" ht="12.75" hidden="false" customHeight="false" outlineLevel="0" collapsed="false">
      <c r="A738" s="90"/>
    </row>
    <row r="739" s="91" customFormat="true" ht="12.75" hidden="false" customHeight="false" outlineLevel="0" collapsed="false">
      <c r="A739" s="90"/>
    </row>
    <row r="740" s="91" customFormat="true" ht="12.75" hidden="false" customHeight="false" outlineLevel="0" collapsed="false">
      <c r="A740" s="90"/>
    </row>
    <row r="741" s="91" customFormat="true" ht="12.75" hidden="false" customHeight="false" outlineLevel="0" collapsed="false">
      <c r="A741" s="90"/>
    </row>
    <row r="742" s="91" customFormat="true" ht="12.75" hidden="false" customHeight="false" outlineLevel="0" collapsed="false">
      <c r="A742" s="90"/>
    </row>
    <row r="743" s="91" customFormat="true" ht="12.75" hidden="false" customHeight="false" outlineLevel="0" collapsed="false">
      <c r="A743" s="90"/>
    </row>
    <row r="744" s="91" customFormat="true" ht="12.75" hidden="false" customHeight="false" outlineLevel="0" collapsed="false">
      <c r="A744" s="90"/>
    </row>
    <row r="745" s="91" customFormat="true" ht="12.75" hidden="false" customHeight="false" outlineLevel="0" collapsed="false">
      <c r="A745" s="90"/>
    </row>
    <row r="746" s="91" customFormat="true" ht="12.75" hidden="false" customHeight="false" outlineLevel="0" collapsed="false">
      <c r="A746" s="90"/>
    </row>
    <row r="747" s="91" customFormat="true" ht="12.75" hidden="false" customHeight="false" outlineLevel="0" collapsed="false">
      <c r="A747" s="90"/>
    </row>
    <row r="748" s="91" customFormat="true" ht="12.75" hidden="false" customHeight="false" outlineLevel="0" collapsed="false">
      <c r="A748" s="90"/>
    </row>
    <row r="749" s="91" customFormat="true" ht="12.75" hidden="false" customHeight="false" outlineLevel="0" collapsed="false">
      <c r="A749" s="90"/>
    </row>
    <row r="750" s="91" customFormat="true" ht="12.75" hidden="false" customHeight="false" outlineLevel="0" collapsed="false">
      <c r="A750" s="90"/>
    </row>
    <row r="751" s="91" customFormat="true" ht="12.75" hidden="false" customHeight="false" outlineLevel="0" collapsed="false">
      <c r="A751" s="90"/>
    </row>
    <row r="752" s="91" customFormat="true" ht="12.75" hidden="false" customHeight="false" outlineLevel="0" collapsed="false">
      <c r="A752" s="90"/>
    </row>
    <row r="753" s="91" customFormat="true" ht="12.75" hidden="false" customHeight="false" outlineLevel="0" collapsed="false">
      <c r="A753" s="90"/>
    </row>
    <row r="754" s="91" customFormat="true" ht="12.75" hidden="false" customHeight="false" outlineLevel="0" collapsed="false">
      <c r="A754" s="90"/>
    </row>
    <row r="755" s="91" customFormat="true" ht="12.75" hidden="false" customHeight="false" outlineLevel="0" collapsed="false">
      <c r="A755" s="90"/>
    </row>
    <row r="756" s="91" customFormat="true" ht="12.75" hidden="false" customHeight="false" outlineLevel="0" collapsed="false">
      <c r="A756" s="90"/>
    </row>
    <row r="757" s="91" customFormat="true" ht="12.75" hidden="false" customHeight="false" outlineLevel="0" collapsed="false">
      <c r="A757" s="90"/>
    </row>
    <row r="758" s="91" customFormat="true" ht="12.75" hidden="false" customHeight="false" outlineLevel="0" collapsed="false">
      <c r="A758" s="90"/>
    </row>
    <row r="759" s="91" customFormat="true" ht="12.75" hidden="false" customHeight="false" outlineLevel="0" collapsed="false">
      <c r="A759" s="90"/>
    </row>
    <row r="760" s="91" customFormat="true" ht="12.75" hidden="false" customHeight="false" outlineLevel="0" collapsed="false">
      <c r="A760" s="90"/>
    </row>
    <row r="761" s="91" customFormat="true" ht="12.75" hidden="false" customHeight="false" outlineLevel="0" collapsed="false">
      <c r="A761" s="90"/>
    </row>
    <row r="762" s="91" customFormat="true" ht="12.75" hidden="false" customHeight="false" outlineLevel="0" collapsed="false">
      <c r="A762" s="90"/>
    </row>
    <row r="763" s="91" customFormat="true" ht="12.75" hidden="false" customHeight="false" outlineLevel="0" collapsed="false">
      <c r="A763" s="90"/>
    </row>
    <row r="764" s="91" customFormat="true" ht="12.75" hidden="false" customHeight="false" outlineLevel="0" collapsed="false">
      <c r="A764" s="90"/>
    </row>
    <row r="765" s="91" customFormat="true" ht="12.75" hidden="false" customHeight="false" outlineLevel="0" collapsed="false">
      <c r="A765" s="90"/>
    </row>
    <row r="766" s="91" customFormat="true" ht="12.75" hidden="false" customHeight="false" outlineLevel="0" collapsed="false">
      <c r="A766" s="90"/>
    </row>
    <row r="767" s="91" customFormat="true" ht="12.75" hidden="false" customHeight="false" outlineLevel="0" collapsed="false">
      <c r="A767" s="90"/>
    </row>
    <row r="768" s="91" customFormat="true" ht="12.75" hidden="false" customHeight="false" outlineLevel="0" collapsed="false">
      <c r="A768" s="90"/>
    </row>
    <row r="769" s="91" customFormat="true" ht="12.75" hidden="false" customHeight="false" outlineLevel="0" collapsed="false">
      <c r="A769" s="90"/>
    </row>
    <row r="770" s="91" customFormat="true" ht="12.75" hidden="false" customHeight="false" outlineLevel="0" collapsed="false">
      <c r="A770" s="90"/>
    </row>
    <row r="771" s="91" customFormat="true" ht="12.75" hidden="false" customHeight="false" outlineLevel="0" collapsed="false">
      <c r="A771" s="90"/>
    </row>
    <row r="772" s="91" customFormat="true" ht="12.75" hidden="false" customHeight="false" outlineLevel="0" collapsed="false">
      <c r="A772" s="90"/>
    </row>
    <row r="773" s="91" customFormat="true" ht="12.75" hidden="false" customHeight="false" outlineLevel="0" collapsed="false">
      <c r="A773" s="90"/>
    </row>
    <row r="774" s="91" customFormat="true" ht="12.75" hidden="false" customHeight="false" outlineLevel="0" collapsed="false">
      <c r="A774" s="90"/>
    </row>
    <row r="775" s="91" customFormat="true" ht="12.75" hidden="false" customHeight="false" outlineLevel="0" collapsed="false">
      <c r="A775" s="90"/>
    </row>
    <row r="776" s="91" customFormat="true" ht="12.75" hidden="false" customHeight="false" outlineLevel="0" collapsed="false">
      <c r="A776" s="90"/>
    </row>
    <row r="777" s="91" customFormat="true" ht="12.75" hidden="false" customHeight="false" outlineLevel="0" collapsed="false">
      <c r="A777" s="90"/>
    </row>
    <row r="778" s="91" customFormat="true" ht="12.75" hidden="false" customHeight="false" outlineLevel="0" collapsed="false">
      <c r="A778" s="90"/>
    </row>
    <row r="779" s="91" customFormat="true" ht="12.75" hidden="false" customHeight="false" outlineLevel="0" collapsed="false">
      <c r="A779" s="90"/>
    </row>
    <row r="780" s="91" customFormat="true" ht="12.75" hidden="false" customHeight="false" outlineLevel="0" collapsed="false">
      <c r="A780" s="90"/>
    </row>
    <row r="781" s="91" customFormat="true" ht="12.75" hidden="false" customHeight="false" outlineLevel="0" collapsed="false">
      <c r="A781" s="90"/>
    </row>
    <row r="782" s="91" customFormat="true" ht="12.75" hidden="false" customHeight="false" outlineLevel="0" collapsed="false">
      <c r="A782" s="90"/>
    </row>
    <row r="783" s="91" customFormat="true" ht="12.75" hidden="false" customHeight="false" outlineLevel="0" collapsed="false">
      <c r="A783" s="90"/>
    </row>
    <row r="784" s="91" customFormat="true" ht="12.75" hidden="false" customHeight="false" outlineLevel="0" collapsed="false">
      <c r="A784" s="90"/>
    </row>
    <row r="785" s="91" customFormat="true" ht="12.75" hidden="false" customHeight="false" outlineLevel="0" collapsed="false">
      <c r="A785" s="90"/>
    </row>
    <row r="786" s="91" customFormat="true" ht="12.75" hidden="false" customHeight="false" outlineLevel="0" collapsed="false">
      <c r="A786" s="90"/>
    </row>
    <row r="787" s="91" customFormat="true" ht="12.75" hidden="false" customHeight="false" outlineLevel="0" collapsed="false">
      <c r="A787" s="90"/>
    </row>
    <row r="788" s="91" customFormat="true" ht="12.75" hidden="false" customHeight="false" outlineLevel="0" collapsed="false">
      <c r="A788" s="90"/>
    </row>
    <row r="789" s="91" customFormat="true" ht="12.75" hidden="false" customHeight="false" outlineLevel="0" collapsed="false">
      <c r="A789" s="90"/>
    </row>
    <row r="790" s="91" customFormat="true" ht="12.75" hidden="false" customHeight="false" outlineLevel="0" collapsed="false">
      <c r="A790" s="90"/>
    </row>
    <row r="791" s="91" customFormat="true" ht="12.75" hidden="false" customHeight="false" outlineLevel="0" collapsed="false">
      <c r="A791" s="90"/>
    </row>
    <row r="792" s="91" customFormat="true" ht="12.75" hidden="false" customHeight="false" outlineLevel="0" collapsed="false">
      <c r="A792" s="90"/>
    </row>
    <row r="793" s="91" customFormat="true" ht="12.75" hidden="false" customHeight="false" outlineLevel="0" collapsed="false">
      <c r="A793" s="90"/>
    </row>
    <row r="794" s="91" customFormat="true" ht="12.75" hidden="false" customHeight="false" outlineLevel="0" collapsed="false">
      <c r="A794" s="90"/>
    </row>
    <row r="795" s="91" customFormat="true" ht="12.75" hidden="false" customHeight="false" outlineLevel="0" collapsed="false">
      <c r="A795" s="90"/>
    </row>
    <row r="796" s="91" customFormat="true" ht="12.75" hidden="false" customHeight="false" outlineLevel="0" collapsed="false">
      <c r="A796" s="90"/>
    </row>
    <row r="797" s="91" customFormat="true" ht="12.75" hidden="false" customHeight="false" outlineLevel="0" collapsed="false">
      <c r="A797" s="90"/>
    </row>
    <row r="798" s="91" customFormat="true" ht="12.75" hidden="false" customHeight="false" outlineLevel="0" collapsed="false">
      <c r="A798" s="90"/>
    </row>
    <row r="799" s="91" customFormat="true" ht="12.75" hidden="false" customHeight="false" outlineLevel="0" collapsed="false">
      <c r="A799" s="90"/>
    </row>
    <row r="800" s="91" customFormat="true" ht="12.75" hidden="false" customHeight="false" outlineLevel="0" collapsed="false">
      <c r="A800" s="90"/>
    </row>
    <row r="801" s="91" customFormat="true" ht="12.75" hidden="false" customHeight="false" outlineLevel="0" collapsed="false">
      <c r="A801" s="90"/>
    </row>
    <row r="802" s="91" customFormat="true" ht="12.75" hidden="false" customHeight="false" outlineLevel="0" collapsed="false">
      <c r="A802" s="90"/>
    </row>
    <row r="803" s="91" customFormat="true" ht="12.75" hidden="false" customHeight="false" outlineLevel="0" collapsed="false">
      <c r="A803" s="90"/>
    </row>
    <row r="804" s="91" customFormat="true" ht="12.75" hidden="false" customHeight="false" outlineLevel="0" collapsed="false">
      <c r="A804" s="90"/>
    </row>
    <row r="805" s="91" customFormat="true" ht="12.75" hidden="false" customHeight="false" outlineLevel="0" collapsed="false">
      <c r="A805" s="90"/>
    </row>
    <row r="806" s="91" customFormat="true" ht="12.75" hidden="false" customHeight="false" outlineLevel="0" collapsed="false">
      <c r="A806" s="90"/>
    </row>
    <row r="807" s="91" customFormat="true" ht="12.75" hidden="false" customHeight="false" outlineLevel="0" collapsed="false">
      <c r="A807" s="90"/>
    </row>
    <row r="808" s="91" customFormat="true" ht="12.75" hidden="false" customHeight="false" outlineLevel="0" collapsed="false">
      <c r="A808" s="90"/>
    </row>
    <row r="809" s="91" customFormat="true" ht="12.75" hidden="false" customHeight="false" outlineLevel="0" collapsed="false">
      <c r="A809" s="90"/>
    </row>
    <row r="810" s="91" customFormat="true" ht="12.75" hidden="false" customHeight="false" outlineLevel="0" collapsed="false">
      <c r="A810" s="90"/>
    </row>
    <row r="811" s="91" customFormat="true" ht="12.75" hidden="false" customHeight="false" outlineLevel="0" collapsed="false">
      <c r="A811" s="90"/>
    </row>
    <row r="812" s="91" customFormat="true" ht="12.75" hidden="false" customHeight="false" outlineLevel="0" collapsed="false">
      <c r="A812" s="90"/>
    </row>
    <row r="813" s="91" customFormat="true" ht="12.75" hidden="false" customHeight="false" outlineLevel="0" collapsed="false">
      <c r="A813" s="90"/>
    </row>
    <row r="814" s="91" customFormat="true" ht="12.75" hidden="false" customHeight="false" outlineLevel="0" collapsed="false">
      <c r="A814" s="90"/>
    </row>
    <row r="815" s="91" customFormat="true" ht="12.75" hidden="false" customHeight="false" outlineLevel="0" collapsed="false">
      <c r="A815" s="90"/>
    </row>
    <row r="816" s="91" customFormat="true" ht="12.75" hidden="false" customHeight="false" outlineLevel="0" collapsed="false">
      <c r="A816" s="90"/>
    </row>
    <row r="817" s="91" customFormat="true" ht="12.75" hidden="false" customHeight="false" outlineLevel="0" collapsed="false">
      <c r="A817" s="90"/>
    </row>
    <row r="818" s="91" customFormat="true" ht="12.75" hidden="false" customHeight="false" outlineLevel="0" collapsed="false">
      <c r="A818" s="90"/>
    </row>
    <row r="819" s="91" customFormat="true" ht="12.75" hidden="false" customHeight="false" outlineLevel="0" collapsed="false">
      <c r="A819" s="90"/>
    </row>
    <row r="820" s="91" customFormat="true" ht="12.75" hidden="false" customHeight="false" outlineLevel="0" collapsed="false">
      <c r="A820" s="90"/>
    </row>
    <row r="821" s="91" customFormat="true" ht="12.75" hidden="false" customHeight="false" outlineLevel="0" collapsed="false">
      <c r="A821" s="90"/>
    </row>
    <row r="822" s="91" customFormat="true" ht="12.75" hidden="false" customHeight="false" outlineLevel="0" collapsed="false">
      <c r="A822" s="90"/>
    </row>
    <row r="823" s="91" customFormat="true" ht="12.75" hidden="false" customHeight="false" outlineLevel="0" collapsed="false">
      <c r="A823" s="90"/>
    </row>
    <row r="824" s="91" customFormat="true" ht="12.75" hidden="false" customHeight="false" outlineLevel="0" collapsed="false">
      <c r="A824" s="90"/>
    </row>
    <row r="825" s="91" customFormat="true" ht="12.75" hidden="false" customHeight="false" outlineLevel="0" collapsed="false">
      <c r="A825" s="90"/>
    </row>
    <row r="826" s="91" customFormat="true" ht="12.75" hidden="false" customHeight="false" outlineLevel="0" collapsed="false">
      <c r="A826" s="90"/>
    </row>
    <row r="827" s="91" customFormat="true" ht="12.75" hidden="false" customHeight="false" outlineLevel="0" collapsed="false">
      <c r="A827" s="90"/>
    </row>
    <row r="828" s="91" customFormat="true" ht="12.75" hidden="false" customHeight="false" outlineLevel="0" collapsed="false">
      <c r="A828" s="90"/>
    </row>
    <row r="829" s="91" customFormat="true" ht="12.75" hidden="false" customHeight="false" outlineLevel="0" collapsed="false">
      <c r="A829" s="90"/>
    </row>
    <row r="830" s="91" customFormat="true" ht="12.75" hidden="false" customHeight="false" outlineLevel="0" collapsed="false">
      <c r="A830" s="90"/>
    </row>
    <row r="831" s="91" customFormat="true" ht="12.75" hidden="false" customHeight="false" outlineLevel="0" collapsed="false">
      <c r="A831" s="90"/>
    </row>
    <row r="832" s="91" customFormat="true" ht="12.75" hidden="false" customHeight="false" outlineLevel="0" collapsed="false">
      <c r="A832" s="90"/>
    </row>
    <row r="833" s="91" customFormat="true" ht="12.75" hidden="false" customHeight="false" outlineLevel="0" collapsed="false">
      <c r="A833" s="90"/>
    </row>
    <row r="834" s="91" customFormat="true" ht="12.75" hidden="false" customHeight="false" outlineLevel="0" collapsed="false">
      <c r="A834" s="90"/>
    </row>
    <row r="835" s="91" customFormat="true" ht="12.75" hidden="false" customHeight="false" outlineLevel="0" collapsed="false">
      <c r="A835" s="90"/>
    </row>
    <row r="836" s="91" customFormat="true" ht="12.75" hidden="false" customHeight="false" outlineLevel="0" collapsed="false">
      <c r="A836" s="90"/>
    </row>
    <row r="837" s="91" customFormat="true" ht="12.75" hidden="false" customHeight="false" outlineLevel="0" collapsed="false">
      <c r="A837" s="90"/>
    </row>
    <row r="838" s="91" customFormat="true" ht="12.75" hidden="false" customHeight="false" outlineLevel="0" collapsed="false">
      <c r="A838" s="90"/>
    </row>
    <row r="839" s="91" customFormat="true" ht="12.75" hidden="false" customHeight="false" outlineLevel="0" collapsed="false">
      <c r="A839" s="90"/>
    </row>
    <row r="840" s="91" customFormat="true" ht="12.75" hidden="false" customHeight="false" outlineLevel="0" collapsed="false">
      <c r="A840" s="90"/>
    </row>
    <row r="841" s="91" customFormat="true" ht="12.75" hidden="false" customHeight="false" outlineLevel="0" collapsed="false">
      <c r="A841" s="90"/>
    </row>
    <row r="842" s="91" customFormat="true" ht="12.75" hidden="false" customHeight="false" outlineLevel="0" collapsed="false">
      <c r="A842" s="90"/>
    </row>
    <row r="843" s="91" customFormat="true" ht="12.75" hidden="false" customHeight="false" outlineLevel="0" collapsed="false">
      <c r="A843" s="90"/>
    </row>
    <row r="844" s="91" customFormat="true" ht="12.75" hidden="false" customHeight="false" outlineLevel="0" collapsed="false">
      <c r="A844" s="90"/>
    </row>
    <row r="845" s="91" customFormat="true" ht="12.75" hidden="false" customHeight="false" outlineLevel="0" collapsed="false">
      <c r="A845" s="90"/>
    </row>
    <row r="846" s="91" customFormat="true" ht="12.75" hidden="false" customHeight="false" outlineLevel="0" collapsed="false">
      <c r="A846" s="90"/>
    </row>
    <row r="847" s="91" customFormat="true" ht="12.75" hidden="false" customHeight="false" outlineLevel="0" collapsed="false">
      <c r="A847" s="90"/>
    </row>
    <row r="848" s="91" customFormat="true" ht="12.75" hidden="false" customHeight="false" outlineLevel="0" collapsed="false">
      <c r="A848" s="90"/>
    </row>
    <row r="849" s="91" customFormat="true" ht="12.75" hidden="false" customHeight="false" outlineLevel="0" collapsed="false">
      <c r="A849" s="90"/>
    </row>
    <row r="850" s="91" customFormat="true" ht="12.75" hidden="false" customHeight="false" outlineLevel="0" collapsed="false">
      <c r="A850" s="90"/>
    </row>
    <row r="851" s="91" customFormat="true" ht="12.75" hidden="false" customHeight="false" outlineLevel="0" collapsed="false">
      <c r="A851" s="90"/>
    </row>
    <row r="852" s="91" customFormat="true" ht="12.75" hidden="false" customHeight="false" outlineLevel="0" collapsed="false">
      <c r="A852" s="90"/>
    </row>
    <row r="853" s="91" customFormat="true" ht="12.75" hidden="false" customHeight="false" outlineLevel="0" collapsed="false">
      <c r="A853" s="90"/>
    </row>
    <row r="854" s="91" customFormat="true" ht="12.75" hidden="false" customHeight="false" outlineLevel="0" collapsed="false">
      <c r="A854" s="90"/>
    </row>
    <row r="855" s="91" customFormat="true" ht="12.75" hidden="false" customHeight="false" outlineLevel="0" collapsed="false">
      <c r="A855" s="90"/>
    </row>
    <row r="856" s="91" customFormat="true" ht="12.75" hidden="false" customHeight="false" outlineLevel="0" collapsed="false">
      <c r="A856" s="90"/>
    </row>
    <row r="857" s="91" customFormat="true" ht="12.75" hidden="false" customHeight="false" outlineLevel="0" collapsed="false">
      <c r="A857" s="90"/>
    </row>
    <row r="858" s="91" customFormat="true" ht="12.75" hidden="false" customHeight="false" outlineLevel="0" collapsed="false">
      <c r="A858" s="90"/>
    </row>
    <row r="859" s="91" customFormat="true" ht="12.75" hidden="false" customHeight="false" outlineLevel="0" collapsed="false">
      <c r="A859" s="90"/>
    </row>
    <row r="860" s="91" customFormat="true" ht="12.75" hidden="false" customHeight="false" outlineLevel="0" collapsed="false">
      <c r="A860" s="90"/>
    </row>
    <row r="861" s="91" customFormat="true" ht="12.75" hidden="false" customHeight="false" outlineLevel="0" collapsed="false">
      <c r="A861" s="90"/>
    </row>
    <row r="862" s="91" customFormat="true" ht="12.75" hidden="false" customHeight="false" outlineLevel="0" collapsed="false">
      <c r="A862" s="90"/>
    </row>
    <row r="863" s="91" customFormat="true" ht="12.75" hidden="false" customHeight="false" outlineLevel="0" collapsed="false">
      <c r="A863" s="90"/>
    </row>
    <row r="864" s="91" customFormat="true" ht="12.75" hidden="false" customHeight="false" outlineLevel="0" collapsed="false">
      <c r="A864" s="90"/>
    </row>
    <row r="865" s="91" customFormat="true" ht="12.75" hidden="false" customHeight="false" outlineLevel="0" collapsed="false">
      <c r="A865" s="90"/>
    </row>
    <row r="866" s="91" customFormat="true" ht="12.75" hidden="false" customHeight="false" outlineLevel="0" collapsed="false">
      <c r="A866" s="90"/>
    </row>
    <row r="867" s="91" customFormat="true" ht="12.75" hidden="false" customHeight="false" outlineLevel="0" collapsed="false">
      <c r="A867" s="90"/>
    </row>
    <row r="868" s="91" customFormat="true" ht="12.75" hidden="false" customHeight="false" outlineLevel="0" collapsed="false">
      <c r="A868" s="90"/>
    </row>
    <row r="869" s="91" customFormat="true" ht="12.75" hidden="false" customHeight="false" outlineLevel="0" collapsed="false">
      <c r="A869" s="90"/>
    </row>
    <row r="870" s="91" customFormat="true" ht="12.75" hidden="false" customHeight="false" outlineLevel="0" collapsed="false">
      <c r="A870" s="90"/>
    </row>
    <row r="871" s="91" customFormat="true" ht="12.75" hidden="false" customHeight="false" outlineLevel="0" collapsed="false">
      <c r="A871" s="90"/>
    </row>
    <row r="872" s="91" customFormat="true" ht="12.75" hidden="false" customHeight="false" outlineLevel="0" collapsed="false">
      <c r="A872" s="90"/>
    </row>
    <row r="873" s="91" customFormat="true" ht="12.75" hidden="false" customHeight="false" outlineLevel="0" collapsed="false">
      <c r="A873" s="90"/>
    </row>
    <row r="874" s="91" customFormat="true" ht="12.75" hidden="false" customHeight="false" outlineLevel="0" collapsed="false">
      <c r="A874" s="90"/>
    </row>
    <row r="875" s="91" customFormat="true" ht="12.75" hidden="false" customHeight="false" outlineLevel="0" collapsed="false">
      <c r="A875" s="90"/>
    </row>
    <row r="876" s="91" customFormat="true" ht="12.75" hidden="false" customHeight="false" outlineLevel="0" collapsed="false">
      <c r="A876" s="90"/>
    </row>
    <row r="877" s="91" customFormat="true" ht="12.75" hidden="false" customHeight="false" outlineLevel="0" collapsed="false">
      <c r="A877" s="90"/>
    </row>
    <row r="878" s="91" customFormat="true" ht="12.75" hidden="false" customHeight="false" outlineLevel="0" collapsed="false">
      <c r="A878" s="90"/>
    </row>
    <row r="879" s="91" customFormat="true" ht="12.75" hidden="false" customHeight="false" outlineLevel="0" collapsed="false">
      <c r="A879" s="90"/>
    </row>
    <row r="880" s="91" customFormat="true" ht="12.75" hidden="false" customHeight="false" outlineLevel="0" collapsed="false">
      <c r="A880" s="90"/>
    </row>
    <row r="881" s="91" customFormat="true" ht="12.75" hidden="false" customHeight="false" outlineLevel="0" collapsed="false">
      <c r="A881" s="90"/>
    </row>
    <row r="882" s="91" customFormat="true" ht="12.75" hidden="false" customHeight="false" outlineLevel="0" collapsed="false">
      <c r="A882" s="90"/>
    </row>
    <row r="883" s="91" customFormat="true" ht="12.75" hidden="false" customHeight="false" outlineLevel="0" collapsed="false">
      <c r="A883" s="90"/>
    </row>
    <row r="884" s="91" customFormat="true" ht="12.75" hidden="false" customHeight="false" outlineLevel="0" collapsed="false">
      <c r="A884" s="90"/>
    </row>
    <row r="885" s="91" customFormat="true" ht="12.75" hidden="false" customHeight="false" outlineLevel="0" collapsed="false">
      <c r="A885" s="90"/>
    </row>
    <row r="886" s="91" customFormat="true" ht="12.75" hidden="false" customHeight="false" outlineLevel="0" collapsed="false">
      <c r="A886" s="90"/>
    </row>
    <row r="887" s="91" customFormat="true" ht="12.75" hidden="false" customHeight="false" outlineLevel="0" collapsed="false">
      <c r="A887" s="90"/>
    </row>
    <row r="888" s="91" customFormat="true" ht="12.75" hidden="false" customHeight="false" outlineLevel="0" collapsed="false">
      <c r="A888" s="90"/>
    </row>
    <row r="889" s="91" customFormat="true" ht="12.75" hidden="false" customHeight="false" outlineLevel="0" collapsed="false">
      <c r="A889" s="90"/>
    </row>
    <row r="890" s="91" customFormat="true" ht="12.75" hidden="false" customHeight="false" outlineLevel="0" collapsed="false">
      <c r="A890" s="90"/>
    </row>
    <row r="891" s="91" customFormat="true" ht="12.75" hidden="false" customHeight="false" outlineLevel="0" collapsed="false">
      <c r="A891" s="90"/>
    </row>
    <row r="892" s="91" customFormat="true" ht="12.75" hidden="false" customHeight="false" outlineLevel="0" collapsed="false">
      <c r="A892" s="90"/>
    </row>
    <row r="893" s="91" customFormat="true" ht="12.75" hidden="false" customHeight="false" outlineLevel="0" collapsed="false">
      <c r="A893" s="90"/>
    </row>
    <row r="894" s="91" customFormat="true" ht="12.75" hidden="false" customHeight="false" outlineLevel="0" collapsed="false">
      <c r="A894" s="90"/>
    </row>
    <row r="895" s="91" customFormat="true" ht="12.75" hidden="false" customHeight="false" outlineLevel="0" collapsed="false">
      <c r="A895" s="90"/>
    </row>
    <row r="896" s="91" customFormat="true" ht="12.75" hidden="false" customHeight="false" outlineLevel="0" collapsed="false">
      <c r="A896" s="90"/>
    </row>
    <row r="897" s="91" customFormat="true" ht="12.75" hidden="false" customHeight="false" outlineLevel="0" collapsed="false">
      <c r="A897" s="90"/>
    </row>
    <row r="898" s="91" customFormat="true" ht="12.75" hidden="false" customHeight="false" outlineLevel="0" collapsed="false">
      <c r="A898" s="90"/>
    </row>
    <row r="899" s="91" customFormat="true" ht="12.75" hidden="false" customHeight="false" outlineLevel="0" collapsed="false">
      <c r="A899" s="90"/>
    </row>
    <row r="900" s="91" customFormat="true" ht="12.75" hidden="false" customHeight="false" outlineLevel="0" collapsed="false">
      <c r="A900" s="90"/>
    </row>
    <row r="901" s="91" customFormat="true" ht="12.75" hidden="false" customHeight="false" outlineLevel="0" collapsed="false">
      <c r="A901" s="90"/>
    </row>
    <row r="902" s="91" customFormat="true" ht="12.75" hidden="false" customHeight="false" outlineLevel="0" collapsed="false">
      <c r="A902" s="90"/>
    </row>
    <row r="903" s="91" customFormat="true" ht="12.75" hidden="false" customHeight="false" outlineLevel="0" collapsed="false">
      <c r="A903" s="90"/>
    </row>
    <row r="904" s="91" customFormat="true" ht="12.75" hidden="false" customHeight="false" outlineLevel="0" collapsed="false">
      <c r="A904" s="90"/>
    </row>
    <row r="905" s="91" customFormat="true" ht="12.75" hidden="false" customHeight="false" outlineLevel="0" collapsed="false">
      <c r="A905" s="90"/>
    </row>
    <row r="906" s="91" customFormat="true" ht="12.75" hidden="false" customHeight="false" outlineLevel="0" collapsed="false">
      <c r="A906" s="90"/>
    </row>
    <row r="907" s="91" customFormat="true" ht="12.75" hidden="false" customHeight="false" outlineLevel="0" collapsed="false">
      <c r="A907" s="90"/>
    </row>
    <row r="908" s="91" customFormat="true" ht="12.75" hidden="false" customHeight="false" outlineLevel="0" collapsed="false">
      <c r="A908" s="90"/>
    </row>
    <row r="909" s="91" customFormat="true" ht="12.75" hidden="false" customHeight="false" outlineLevel="0" collapsed="false">
      <c r="A909" s="90"/>
    </row>
    <row r="910" s="91" customFormat="true" ht="12.75" hidden="false" customHeight="false" outlineLevel="0" collapsed="false">
      <c r="A910" s="90"/>
    </row>
    <row r="911" s="91" customFormat="true" ht="12.75" hidden="false" customHeight="false" outlineLevel="0" collapsed="false">
      <c r="A911" s="90"/>
    </row>
    <row r="912" s="91" customFormat="true" ht="12.75" hidden="false" customHeight="false" outlineLevel="0" collapsed="false">
      <c r="A912" s="90"/>
    </row>
    <row r="913" s="91" customFormat="true" ht="12.75" hidden="false" customHeight="false" outlineLevel="0" collapsed="false">
      <c r="A913" s="90"/>
    </row>
    <row r="914" s="91" customFormat="true" ht="12.75" hidden="false" customHeight="false" outlineLevel="0" collapsed="false">
      <c r="A914" s="90"/>
    </row>
    <row r="915" s="91" customFormat="true" ht="12.75" hidden="false" customHeight="false" outlineLevel="0" collapsed="false">
      <c r="A915" s="90"/>
    </row>
    <row r="916" s="91" customFormat="true" ht="12.75" hidden="false" customHeight="false" outlineLevel="0" collapsed="false">
      <c r="A916" s="90"/>
    </row>
    <row r="917" s="91" customFormat="true" ht="12.75" hidden="false" customHeight="false" outlineLevel="0" collapsed="false">
      <c r="A917" s="90"/>
    </row>
    <row r="918" s="91" customFormat="true" ht="12.75" hidden="false" customHeight="false" outlineLevel="0" collapsed="false">
      <c r="A918" s="90"/>
    </row>
    <row r="919" s="91" customFormat="true" ht="12.75" hidden="false" customHeight="false" outlineLevel="0" collapsed="false">
      <c r="A919" s="90"/>
    </row>
    <row r="920" s="91" customFormat="true" ht="12.75" hidden="false" customHeight="false" outlineLevel="0" collapsed="false">
      <c r="A920" s="90"/>
    </row>
    <row r="921" s="91" customFormat="true" ht="12.75" hidden="false" customHeight="false" outlineLevel="0" collapsed="false">
      <c r="A921" s="90"/>
    </row>
    <row r="922" s="91" customFormat="true" ht="12.75" hidden="false" customHeight="false" outlineLevel="0" collapsed="false">
      <c r="A922" s="90"/>
    </row>
    <row r="923" s="91" customFormat="true" ht="12.75" hidden="false" customHeight="false" outlineLevel="0" collapsed="false">
      <c r="A923" s="90"/>
    </row>
    <row r="924" s="91" customFormat="true" ht="12.75" hidden="false" customHeight="false" outlineLevel="0" collapsed="false">
      <c r="A924" s="90"/>
    </row>
    <row r="925" s="91" customFormat="true" ht="12.75" hidden="false" customHeight="false" outlineLevel="0" collapsed="false">
      <c r="A925" s="90"/>
    </row>
    <row r="926" s="91" customFormat="true" ht="12.75" hidden="false" customHeight="false" outlineLevel="0" collapsed="false">
      <c r="A926" s="90"/>
    </row>
    <row r="927" s="91" customFormat="true" ht="12.75" hidden="false" customHeight="false" outlineLevel="0" collapsed="false">
      <c r="A927" s="90"/>
    </row>
    <row r="928" s="91" customFormat="true" ht="12.75" hidden="false" customHeight="false" outlineLevel="0" collapsed="false">
      <c r="A928" s="90"/>
    </row>
    <row r="929" s="91" customFormat="true" ht="12.75" hidden="false" customHeight="false" outlineLevel="0" collapsed="false">
      <c r="A929" s="90"/>
    </row>
    <row r="930" s="91" customFormat="true" ht="12.75" hidden="false" customHeight="false" outlineLevel="0" collapsed="false">
      <c r="A930" s="90"/>
    </row>
    <row r="931" s="91" customFormat="true" ht="12.75" hidden="false" customHeight="false" outlineLevel="0" collapsed="false">
      <c r="A931" s="90"/>
    </row>
    <row r="932" s="91" customFormat="true" ht="12.75" hidden="false" customHeight="false" outlineLevel="0" collapsed="false">
      <c r="A932" s="90"/>
    </row>
    <row r="933" s="91" customFormat="true" ht="12.75" hidden="false" customHeight="false" outlineLevel="0" collapsed="false">
      <c r="A933" s="90"/>
    </row>
    <row r="934" s="91" customFormat="true" ht="12.75" hidden="false" customHeight="false" outlineLevel="0" collapsed="false">
      <c r="A934" s="90"/>
    </row>
    <row r="935" s="91" customFormat="true" ht="12.75" hidden="false" customHeight="false" outlineLevel="0" collapsed="false">
      <c r="A935" s="90"/>
    </row>
    <row r="936" s="91" customFormat="true" ht="12.75" hidden="false" customHeight="false" outlineLevel="0" collapsed="false">
      <c r="A936" s="90"/>
    </row>
    <row r="937" s="91" customFormat="true" ht="12.75" hidden="false" customHeight="false" outlineLevel="0" collapsed="false">
      <c r="A937" s="90"/>
    </row>
    <row r="938" s="91" customFormat="true" ht="12.75" hidden="false" customHeight="false" outlineLevel="0" collapsed="false">
      <c r="A938" s="90"/>
    </row>
    <row r="939" s="91" customFormat="true" ht="12.75" hidden="false" customHeight="false" outlineLevel="0" collapsed="false">
      <c r="A939" s="90"/>
    </row>
    <row r="940" s="91" customFormat="true" ht="12.75" hidden="false" customHeight="false" outlineLevel="0" collapsed="false">
      <c r="A940" s="90"/>
    </row>
    <row r="941" s="91" customFormat="true" ht="12.75" hidden="false" customHeight="false" outlineLevel="0" collapsed="false">
      <c r="A941" s="90"/>
    </row>
    <row r="942" s="91" customFormat="true" ht="12.75" hidden="false" customHeight="false" outlineLevel="0" collapsed="false">
      <c r="A942" s="90"/>
    </row>
    <row r="943" s="91" customFormat="true" ht="12.75" hidden="false" customHeight="false" outlineLevel="0" collapsed="false">
      <c r="A943" s="90"/>
    </row>
    <row r="944" s="91" customFormat="true" ht="12.75" hidden="false" customHeight="false" outlineLevel="0" collapsed="false">
      <c r="A944" s="90"/>
    </row>
    <row r="945" s="91" customFormat="true" ht="12.75" hidden="false" customHeight="false" outlineLevel="0" collapsed="false">
      <c r="A945" s="90"/>
    </row>
    <row r="946" s="91" customFormat="true" ht="12.75" hidden="false" customHeight="false" outlineLevel="0" collapsed="false">
      <c r="A946" s="90"/>
    </row>
    <row r="947" s="91" customFormat="true" ht="12.75" hidden="false" customHeight="false" outlineLevel="0" collapsed="false">
      <c r="A947" s="90"/>
    </row>
    <row r="948" s="91" customFormat="true" ht="12.75" hidden="false" customHeight="false" outlineLevel="0" collapsed="false">
      <c r="A948" s="90"/>
    </row>
    <row r="949" s="91" customFormat="true" ht="12.75" hidden="false" customHeight="false" outlineLevel="0" collapsed="false">
      <c r="A949" s="90"/>
    </row>
    <row r="950" s="91" customFormat="true" ht="12.75" hidden="false" customHeight="false" outlineLevel="0" collapsed="false">
      <c r="A950" s="90"/>
    </row>
    <row r="951" s="91" customFormat="true" ht="12.75" hidden="false" customHeight="false" outlineLevel="0" collapsed="false">
      <c r="A951" s="90"/>
    </row>
    <row r="952" s="91" customFormat="true" ht="12.75" hidden="false" customHeight="false" outlineLevel="0" collapsed="false">
      <c r="A952" s="90"/>
    </row>
    <row r="953" s="91" customFormat="true" ht="12.75" hidden="false" customHeight="false" outlineLevel="0" collapsed="false">
      <c r="A953" s="90"/>
    </row>
    <row r="954" s="91" customFormat="true" ht="12.75" hidden="false" customHeight="false" outlineLevel="0" collapsed="false">
      <c r="A954" s="90"/>
    </row>
    <row r="955" s="91" customFormat="true" ht="12.75" hidden="false" customHeight="false" outlineLevel="0" collapsed="false">
      <c r="A955" s="90"/>
    </row>
    <row r="956" s="91" customFormat="true" ht="12.75" hidden="false" customHeight="false" outlineLevel="0" collapsed="false">
      <c r="A956" s="90"/>
    </row>
    <row r="957" s="91" customFormat="true" ht="12.75" hidden="false" customHeight="false" outlineLevel="0" collapsed="false">
      <c r="A957" s="90"/>
    </row>
    <row r="958" s="91" customFormat="true" ht="12.75" hidden="false" customHeight="false" outlineLevel="0" collapsed="false">
      <c r="A958" s="90"/>
    </row>
    <row r="959" s="91" customFormat="true" ht="12.75" hidden="false" customHeight="false" outlineLevel="0" collapsed="false">
      <c r="A959" s="90"/>
    </row>
    <row r="960" s="91" customFormat="true" ht="12.75" hidden="false" customHeight="false" outlineLevel="0" collapsed="false">
      <c r="A960" s="90"/>
    </row>
    <row r="961" s="91" customFormat="true" ht="12.75" hidden="false" customHeight="false" outlineLevel="0" collapsed="false">
      <c r="A961" s="90"/>
    </row>
    <row r="962" s="91" customFormat="true" ht="12.75" hidden="false" customHeight="false" outlineLevel="0" collapsed="false">
      <c r="A962" s="90"/>
    </row>
    <row r="963" s="91" customFormat="true" ht="12.75" hidden="false" customHeight="false" outlineLevel="0" collapsed="false">
      <c r="A963" s="90"/>
    </row>
    <row r="964" s="91" customFormat="true" ht="12.75" hidden="false" customHeight="false" outlineLevel="0" collapsed="false">
      <c r="A964" s="90"/>
    </row>
    <row r="965" s="91" customFormat="true" ht="12.75" hidden="false" customHeight="false" outlineLevel="0" collapsed="false">
      <c r="A965" s="90"/>
    </row>
    <row r="966" s="91" customFormat="true" ht="12.75" hidden="false" customHeight="false" outlineLevel="0" collapsed="false">
      <c r="A966" s="90"/>
    </row>
    <row r="967" s="91" customFormat="true" ht="12.75" hidden="false" customHeight="false" outlineLevel="0" collapsed="false">
      <c r="A967" s="90"/>
    </row>
    <row r="968" s="91" customFormat="true" ht="12.75" hidden="false" customHeight="false" outlineLevel="0" collapsed="false">
      <c r="A968" s="90"/>
    </row>
    <row r="969" s="91" customFormat="true" ht="12.75" hidden="false" customHeight="false" outlineLevel="0" collapsed="false">
      <c r="A969" s="90"/>
    </row>
    <row r="970" s="91" customFormat="true" ht="12.75" hidden="false" customHeight="false" outlineLevel="0" collapsed="false">
      <c r="A970" s="90"/>
    </row>
    <row r="971" s="91" customFormat="true" ht="12.75" hidden="false" customHeight="false" outlineLevel="0" collapsed="false">
      <c r="A971" s="90"/>
    </row>
    <row r="972" s="91" customFormat="true" ht="12.75" hidden="false" customHeight="false" outlineLevel="0" collapsed="false">
      <c r="A972" s="90"/>
    </row>
    <row r="973" s="91" customFormat="true" ht="12.75" hidden="false" customHeight="false" outlineLevel="0" collapsed="false">
      <c r="A973" s="90"/>
    </row>
    <row r="974" s="91" customFormat="true" ht="12.75" hidden="false" customHeight="false" outlineLevel="0" collapsed="false">
      <c r="A974" s="90"/>
    </row>
    <row r="975" s="91" customFormat="true" ht="12.75" hidden="false" customHeight="false" outlineLevel="0" collapsed="false">
      <c r="A975" s="90"/>
    </row>
    <row r="976" s="91" customFormat="true" ht="12.75" hidden="false" customHeight="false" outlineLevel="0" collapsed="false">
      <c r="A976" s="90"/>
    </row>
    <row r="977" s="91" customFormat="true" ht="12.75" hidden="false" customHeight="false" outlineLevel="0" collapsed="false">
      <c r="A977" s="90"/>
    </row>
    <row r="978" s="91" customFormat="true" ht="12.75" hidden="false" customHeight="false" outlineLevel="0" collapsed="false">
      <c r="A978" s="90"/>
    </row>
    <row r="979" s="91" customFormat="true" ht="12.75" hidden="false" customHeight="false" outlineLevel="0" collapsed="false">
      <c r="A979" s="90"/>
    </row>
    <row r="980" s="91" customFormat="true" ht="12.75" hidden="false" customHeight="false" outlineLevel="0" collapsed="false">
      <c r="A980" s="90"/>
    </row>
    <row r="981" s="91" customFormat="true" ht="12.75" hidden="false" customHeight="false" outlineLevel="0" collapsed="false">
      <c r="A981" s="90"/>
    </row>
    <row r="982" s="91" customFormat="true" ht="12.75" hidden="false" customHeight="false" outlineLevel="0" collapsed="false">
      <c r="A982" s="90"/>
    </row>
    <row r="983" s="91" customFormat="true" ht="12.75" hidden="false" customHeight="false" outlineLevel="0" collapsed="false">
      <c r="A983" s="90"/>
    </row>
    <row r="984" s="91" customFormat="true" ht="12.75" hidden="false" customHeight="false" outlineLevel="0" collapsed="false">
      <c r="A984" s="90"/>
    </row>
    <row r="985" s="91" customFormat="true" ht="12.75" hidden="false" customHeight="false" outlineLevel="0" collapsed="false">
      <c r="A985" s="90"/>
    </row>
    <row r="986" s="91" customFormat="true" ht="12.75" hidden="false" customHeight="false" outlineLevel="0" collapsed="false">
      <c r="A986" s="90"/>
    </row>
    <row r="987" s="91" customFormat="true" ht="12.75" hidden="false" customHeight="false" outlineLevel="0" collapsed="false">
      <c r="A987" s="90"/>
    </row>
    <row r="988" s="91" customFormat="true" ht="12.75" hidden="false" customHeight="false" outlineLevel="0" collapsed="false">
      <c r="A988" s="90"/>
    </row>
    <row r="989" s="91" customFormat="true" ht="12.75" hidden="false" customHeight="false" outlineLevel="0" collapsed="false">
      <c r="A989" s="90"/>
    </row>
    <row r="990" s="91" customFormat="true" ht="12.75" hidden="false" customHeight="false" outlineLevel="0" collapsed="false">
      <c r="A990" s="90"/>
    </row>
    <row r="991" s="91" customFormat="true" ht="12.75" hidden="false" customHeight="false" outlineLevel="0" collapsed="false">
      <c r="A991" s="90"/>
    </row>
    <row r="992" s="91" customFormat="true" ht="12.75" hidden="false" customHeight="false" outlineLevel="0" collapsed="false">
      <c r="A992" s="90"/>
    </row>
    <row r="993" s="91" customFormat="true" ht="12.75" hidden="false" customHeight="false" outlineLevel="0" collapsed="false">
      <c r="A993" s="90"/>
    </row>
    <row r="994" s="91" customFormat="true" ht="12.75" hidden="false" customHeight="false" outlineLevel="0" collapsed="false">
      <c r="A994" s="90"/>
    </row>
    <row r="995" s="91" customFormat="true" ht="12.75" hidden="false" customHeight="false" outlineLevel="0" collapsed="false">
      <c r="A995" s="90"/>
    </row>
    <row r="996" s="91" customFormat="true" ht="12.75" hidden="false" customHeight="false" outlineLevel="0" collapsed="false">
      <c r="A996" s="90"/>
    </row>
    <row r="997" s="91" customFormat="true" ht="12.75" hidden="false" customHeight="false" outlineLevel="0" collapsed="false">
      <c r="A997" s="90"/>
    </row>
    <row r="998" s="91" customFormat="true" ht="12.75" hidden="false" customHeight="false" outlineLevel="0" collapsed="false">
      <c r="A998" s="90"/>
    </row>
    <row r="999" s="91" customFormat="true" ht="12.75" hidden="false" customHeight="false" outlineLevel="0" collapsed="false">
      <c r="A999" s="90"/>
    </row>
    <row r="1000" s="91" customFormat="true" ht="12.75" hidden="false" customHeight="false" outlineLevel="0" collapsed="false">
      <c r="A1000" s="90"/>
    </row>
    <row r="1001" s="91" customFormat="true" ht="12.75" hidden="false" customHeight="false" outlineLevel="0" collapsed="false">
      <c r="A1001" s="90"/>
    </row>
    <row r="1002" s="91" customFormat="true" ht="12.75" hidden="false" customHeight="false" outlineLevel="0" collapsed="false">
      <c r="A1002" s="90"/>
    </row>
    <row r="1003" s="91" customFormat="true" ht="12.75" hidden="false" customHeight="false" outlineLevel="0" collapsed="false">
      <c r="A1003" s="90"/>
    </row>
    <row r="1004" s="91" customFormat="true" ht="12.75" hidden="false" customHeight="false" outlineLevel="0" collapsed="false">
      <c r="A1004" s="90"/>
    </row>
    <row r="1005" s="91" customFormat="true" ht="12.75" hidden="false" customHeight="false" outlineLevel="0" collapsed="false">
      <c r="A1005" s="90"/>
    </row>
    <row r="1006" s="91" customFormat="true" ht="12.75" hidden="false" customHeight="false" outlineLevel="0" collapsed="false">
      <c r="A1006" s="90"/>
    </row>
    <row r="1007" s="91" customFormat="true" ht="12.75" hidden="false" customHeight="false" outlineLevel="0" collapsed="false">
      <c r="A1007" s="90"/>
    </row>
    <row r="1008" s="91" customFormat="true" ht="12.75" hidden="false" customHeight="false" outlineLevel="0" collapsed="false">
      <c r="A1008" s="90"/>
    </row>
    <row r="1009" s="91" customFormat="true" ht="12.75" hidden="false" customHeight="false" outlineLevel="0" collapsed="false">
      <c r="A1009" s="90"/>
    </row>
    <row r="1010" s="91" customFormat="true" ht="12.75" hidden="false" customHeight="false" outlineLevel="0" collapsed="false">
      <c r="A1010" s="90"/>
    </row>
    <row r="1011" s="91" customFormat="true" ht="12.75" hidden="false" customHeight="false" outlineLevel="0" collapsed="false">
      <c r="A1011" s="90"/>
    </row>
    <row r="1012" s="91" customFormat="true" ht="12.75" hidden="false" customHeight="false" outlineLevel="0" collapsed="false">
      <c r="A1012" s="90"/>
    </row>
    <row r="1013" s="91" customFormat="true" ht="12.75" hidden="false" customHeight="false" outlineLevel="0" collapsed="false">
      <c r="A1013" s="90"/>
    </row>
    <row r="1014" s="91" customFormat="true" ht="12.75" hidden="false" customHeight="false" outlineLevel="0" collapsed="false">
      <c r="A1014" s="90"/>
    </row>
    <row r="1015" s="91" customFormat="true" ht="12.75" hidden="false" customHeight="false" outlineLevel="0" collapsed="false">
      <c r="A1015" s="90"/>
    </row>
    <row r="1016" s="91" customFormat="true" ht="12.75" hidden="false" customHeight="false" outlineLevel="0" collapsed="false">
      <c r="A1016" s="90"/>
    </row>
    <row r="1017" s="91" customFormat="true" ht="12.75" hidden="false" customHeight="false" outlineLevel="0" collapsed="false">
      <c r="A1017" s="90"/>
    </row>
    <row r="1018" s="91" customFormat="true" ht="12.75" hidden="false" customHeight="false" outlineLevel="0" collapsed="false">
      <c r="A1018" s="90"/>
    </row>
    <row r="1019" s="91" customFormat="true" ht="12.75" hidden="false" customHeight="false" outlineLevel="0" collapsed="false">
      <c r="A1019" s="90"/>
    </row>
    <row r="1020" s="91" customFormat="true" ht="12.75" hidden="false" customHeight="false" outlineLevel="0" collapsed="false">
      <c r="A1020" s="90"/>
    </row>
    <row r="1021" s="91" customFormat="true" ht="12.75" hidden="false" customHeight="false" outlineLevel="0" collapsed="false">
      <c r="A1021" s="90"/>
    </row>
    <row r="1022" s="91" customFormat="true" ht="12.75" hidden="false" customHeight="false" outlineLevel="0" collapsed="false">
      <c r="A1022" s="90"/>
    </row>
    <row r="1023" s="91" customFormat="true" ht="12.75" hidden="false" customHeight="false" outlineLevel="0" collapsed="false">
      <c r="A1023" s="90"/>
    </row>
    <row r="1024" s="91" customFormat="true" ht="12.75" hidden="false" customHeight="false" outlineLevel="0" collapsed="false">
      <c r="A1024" s="90"/>
    </row>
    <row r="1025" s="91" customFormat="true" ht="12.75" hidden="false" customHeight="false" outlineLevel="0" collapsed="false">
      <c r="A1025" s="90"/>
    </row>
    <row r="1026" s="91" customFormat="true" ht="12.75" hidden="false" customHeight="false" outlineLevel="0" collapsed="false">
      <c r="A1026" s="90"/>
    </row>
    <row r="1027" s="91" customFormat="true" ht="12.75" hidden="false" customHeight="false" outlineLevel="0" collapsed="false">
      <c r="A1027" s="90"/>
    </row>
    <row r="1028" s="91" customFormat="true" ht="12.75" hidden="false" customHeight="false" outlineLevel="0" collapsed="false">
      <c r="A1028" s="90"/>
    </row>
    <row r="1029" s="91" customFormat="true" ht="12.75" hidden="false" customHeight="false" outlineLevel="0" collapsed="false">
      <c r="A1029" s="90"/>
    </row>
    <row r="1030" s="91" customFormat="true" ht="12.75" hidden="false" customHeight="false" outlineLevel="0" collapsed="false">
      <c r="A1030" s="90"/>
    </row>
    <row r="1031" s="91" customFormat="true" ht="12.75" hidden="false" customHeight="false" outlineLevel="0" collapsed="false">
      <c r="A1031" s="90"/>
    </row>
    <row r="1032" s="91" customFormat="true" ht="12.75" hidden="false" customHeight="false" outlineLevel="0" collapsed="false">
      <c r="A1032" s="90"/>
    </row>
    <row r="1033" s="91" customFormat="true" ht="12.75" hidden="false" customHeight="false" outlineLevel="0" collapsed="false">
      <c r="A1033" s="90"/>
    </row>
    <row r="1034" s="91" customFormat="true" ht="12.75" hidden="false" customHeight="false" outlineLevel="0" collapsed="false">
      <c r="A1034" s="90"/>
    </row>
    <row r="1035" s="91" customFormat="true" ht="12.75" hidden="false" customHeight="false" outlineLevel="0" collapsed="false">
      <c r="A1035" s="90"/>
    </row>
    <row r="1036" s="91" customFormat="true" ht="12.75" hidden="false" customHeight="false" outlineLevel="0" collapsed="false">
      <c r="A1036" s="90"/>
    </row>
    <row r="1037" s="91" customFormat="true" ht="12.75" hidden="false" customHeight="false" outlineLevel="0" collapsed="false">
      <c r="A1037" s="90"/>
    </row>
    <row r="1038" s="91" customFormat="true" ht="12.75" hidden="false" customHeight="false" outlineLevel="0" collapsed="false">
      <c r="A1038" s="90"/>
    </row>
    <row r="1039" s="91" customFormat="true" ht="12.75" hidden="false" customHeight="false" outlineLevel="0" collapsed="false">
      <c r="A1039" s="90"/>
    </row>
    <row r="1040" s="91" customFormat="true" ht="12.75" hidden="false" customHeight="false" outlineLevel="0" collapsed="false">
      <c r="A1040" s="90"/>
    </row>
    <row r="1041" s="91" customFormat="true" ht="12.75" hidden="false" customHeight="false" outlineLevel="0" collapsed="false">
      <c r="A1041" s="90"/>
    </row>
    <row r="1042" s="91" customFormat="true" ht="12.75" hidden="false" customHeight="false" outlineLevel="0" collapsed="false">
      <c r="A1042" s="90"/>
    </row>
    <row r="1043" s="91" customFormat="true" ht="12.75" hidden="false" customHeight="false" outlineLevel="0" collapsed="false">
      <c r="A1043" s="90"/>
    </row>
    <row r="1044" s="91" customFormat="true" ht="12.75" hidden="false" customHeight="false" outlineLevel="0" collapsed="false">
      <c r="A1044" s="90"/>
    </row>
    <row r="1045" s="91" customFormat="true" ht="12.75" hidden="false" customHeight="false" outlineLevel="0" collapsed="false">
      <c r="A1045" s="90"/>
    </row>
    <row r="1046" s="91" customFormat="true" ht="12.75" hidden="false" customHeight="false" outlineLevel="0" collapsed="false">
      <c r="A1046" s="90"/>
    </row>
    <row r="1047" s="91" customFormat="true" ht="12.75" hidden="false" customHeight="false" outlineLevel="0" collapsed="false">
      <c r="A1047" s="90"/>
    </row>
    <row r="1048" s="91" customFormat="true" ht="12.75" hidden="false" customHeight="false" outlineLevel="0" collapsed="false">
      <c r="A1048" s="90"/>
    </row>
    <row r="1049" s="91" customFormat="true" ht="12.75" hidden="false" customHeight="false" outlineLevel="0" collapsed="false">
      <c r="A1049" s="90"/>
    </row>
    <row r="1050" s="91" customFormat="true" ht="12.75" hidden="false" customHeight="false" outlineLevel="0" collapsed="false">
      <c r="A1050" s="90"/>
    </row>
    <row r="1051" s="91" customFormat="true" ht="12.75" hidden="false" customHeight="false" outlineLevel="0" collapsed="false">
      <c r="A1051" s="90"/>
    </row>
    <row r="1052" s="91" customFormat="true" ht="12.75" hidden="false" customHeight="false" outlineLevel="0" collapsed="false">
      <c r="A1052" s="90"/>
    </row>
    <row r="1053" s="91" customFormat="true" ht="12.75" hidden="false" customHeight="false" outlineLevel="0" collapsed="false">
      <c r="A1053" s="90"/>
    </row>
    <row r="1054" s="91" customFormat="true" ht="12.75" hidden="false" customHeight="false" outlineLevel="0" collapsed="false">
      <c r="A1054" s="90"/>
    </row>
    <row r="1055" s="91" customFormat="true" ht="12.75" hidden="false" customHeight="false" outlineLevel="0" collapsed="false">
      <c r="A1055" s="90"/>
    </row>
    <row r="1056" s="91" customFormat="true" ht="12.75" hidden="false" customHeight="false" outlineLevel="0" collapsed="false">
      <c r="A1056" s="90"/>
    </row>
    <row r="1057" s="91" customFormat="true" ht="12.75" hidden="false" customHeight="false" outlineLevel="0" collapsed="false">
      <c r="A1057" s="90"/>
    </row>
    <row r="1058" s="91" customFormat="true" ht="12.75" hidden="false" customHeight="false" outlineLevel="0" collapsed="false">
      <c r="A1058" s="90"/>
    </row>
    <row r="1059" s="91" customFormat="true" ht="12.75" hidden="false" customHeight="false" outlineLevel="0" collapsed="false">
      <c r="A1059" s="90"/>
    </row>
    <row r="1060" s="91" customFormat="true" ht="12.75" hidden="false" customHeight="false" outlineLevel="0" collapsed="false">
      <c r="A1060" s="90"/>
    </row>
    <row r="1061" s="91" customFormat="true" ht="12.75" hidden="false" customHeight="false" outlineLevel="0" collapsed="false">
      <c r="A1061" s="90"/>
    </row>
    <row r="1062" s="91" customFormat="true" ht="12.75" hidden="false" customHeight="false" outlineLevel="0" collapsed="false">
      <c r="A1062" s="90"/>
    </row>
    <row r="1063" s="91" customFormat="true" ht="12.75" hidden="false" customHeight="false" outlineLevel="0" collapsed="false">
      <c r="A1063" s="90"/>
    </row>
    <row r="1064" s="91" customFormat="true" ht="12.75" hidden="false" customHeight="false" outlineLevel="0" collapsed="false">
      <c r="A1064" s="90"/>
    </row>
    <row r="1065" s="91" customFormat="true" ht="12.75" hidden="false" customHeight="false" outlineLevel="0" collapsed="false">
      <c r="A1065" s="90"/>
    </row>
    <row r="1066" s="91" customFormat="true" ht="12.75" hidden="false" customHeight="false" outlineLevel="0" collapsed="false">
      <c r="A1066" s="90"/>
    </row>
    <row r="1067" s="91" customFormat="true" ht="12.75" hidden="false" customHeight="false" outlineLevel="0" collapsed="false">
      <c r="A1067" s="90"/>
    </row>
    <row r="1068" s="91" customFormat="true" ht="12.75" hidden="false" customHeight="false" outlineLevel="0" collapsed="false">
      <c r="A1068" s="90"/>
    </row>
    <row r="1069" s="91" customFormat="true" ht="12.75" hidden="false" customHeight="false" outlineLevel="0" collapsed="false">
      <c r="A1069" s="90"/>
    </row>
    <row r="1070" s="91" customFormat="true" ht="12.75" hidden="false" customHeight="false" outlineLevel="0" collapsed="false">
      <c r="A1070" s="90"/>
    </row>
    <row r="1071" s="91" customFormat="true" ht="12.75" hidden="false" customHeight="false" outlineLevel="0" collapsed="false">
      <c r="A1071" s="90"/>
    </row>
    <row r="1072" s="91" customFormat="true" ht="12.75" hidden="false" customHeight="false" outlineLevel="0" collapsed="false">
      <c r="A1072" s="90"/>
    </row>
    <row r="1073" s="91" customFormat="true" ht="12.75" hidden="false" customHeight="false" outlineLevel="0" collapsed="false">
      <c r="A1073" s="90"/>
    </row>
    <row r="1074" s="91" customFormat="true" ht="12.75" hidden="false" customHeight="false" outlineLevel="0" collapsed="false">
      <c r="A1074" s="90"/>
    </row>
    <row r="1075" s="91" customFormat="true" ht="12.75" hidden="false" customHeight="false" outlineLevel="0" collapsed="false">
      <c r="A1075" s="90"/>
    </row>
    <row r="1076" s="91" customFormat="true" ht="12.75" hidden="false" customHeight="false" outlineLevel="0" collapsed="false">
      <c r="A1076" s="90"/>
    </row>
    <row r="1077" s="91" customFormat="true" ht="12.75" hidden="false" customHeight="false" outlineLevel="0" collapsed="false">
      <c r="A1077" s="90"/>
    </row>
    <row r="1078" s="91" customFormat="true" ht="12.75" hidden="false" customHeight="false" outlineLevel="0" collapsed="false">
      <c r="A1078" s="90"/>
    </row>
    <row r="1079" s="91" customFormat="true" ht="12.75" hidden="false" customHeight="false" outlineLevel="0" collapsed="false">
      <c r="A1079" s="90"/>
    </row>
    <row r="1080" s="91" customFormat="true" ht="12.75" hidden="false" customHeight="false" outlineLevel="0" collapsed="false">
      <c r="A1080" s="90"/>
    </row>
    <row r="1081" s="91" customFormat="true" ht="12.75" hidden="false" customHeight="false" outlineLevel="0" collapsed="false">
      <c r="A1081" s="90"/>
    </row>
    <row r="1082" s="91" customFormat="true" ht="12.75" hidden="false" customHeight="false" outlineLevel="0" collapsed="false">
      <c r="A1082" s="90"/>
    </row>
    <row r="1083" s="91" customFormat="true" ht="12.75" hidden="false" customHeight="false" outlineLevel="0" collapsed="false">
      <c r="A1083" s="90"/>
    </row>
    <row r="1084" s="91" customFormat="true" ht="12.75" hidden="false" customHeight="false" outlineLevel="0" collapsed="false">
      <c r="A1084" s="90"/>
    </row>
    <row r="1085" s="91" customFormat="true" ht="12.75" hidden="false" customHeight="false" outlineLevel="0" collapsed="false">
      <c r="A1085" s="90"/>
    </row>
    <row r="1086" s="91" customFormat="true" ht="12.75" hidden="false" customHeight="false" outlineLevel="0" collapsed="false">
      <c r="A1086" s="90"/>
    </row>
    <row r="1087" s="91" customFormat="true" ht="12.75" hidden="false" customHeight="false" outlineLevel="0" collapsed="false">
      <c r="A1087" s="90"/>
    </row>
    <row r="1088" s="91" customFormat="true" ht="12.75" hidden="false" customHeight="false" outlineLevel="0" collapsed="false">
      <c r="A1088" s="90"/>
    </row>
    <row r="1089" s="91" customFormat="true" ht="12.75" hidden="false" customHeight="false" outlineLevel="0" collapsed="false">
      <c r="A1089" s="90"/>
    </row>
    <row r="1090" s="91" customFormat="true" ht="12.75" hidden="false" customHeight="false" outlineLevel="0" collapsed="false">
      <c r="A1090" s="90"/>
    </row>
    <row r="1091" s="91" customFormat="true" ht="12.75" hidden="false" customHeight="false" outlineLevel="0" collapsed="false">
      <c r="A1091" s="90"/>
    </row>
    <row r="1092" s="91" customFormat="true" ht="12.75" hidden="false" customHeight="false" outlineLevel="0" collapsed="false">
      <c r="A1092" s="90"/>
    </row>
    <row r="1093" s="91" customFormat="true" ht="12.75" hidden="false" customHeight="false" outlineLevel="0" collapsed="false">
      <c r="A1093" s="90"/>
    </row>
    <row r="1094" s="91" customFormat="true" ht="12.75" hidden="false" customHeight="false" outlineLevel="0" collapsed="false">
      <c r="A1094" s="90"/>
    </row>
    <row r="1095" s="91" customFormat="true" ht="12.75" hidden="false" customHeight="false" outlineLevel="0" collapsed="false">
      <c r="A1095" s="90"/>
    </row>
    <row r="1096" s="91" customFormat="true" ht="12.75" hidden="false" customHeight="false" outlineLevel="0" collapsed="false">
      <c r="A1096" s="90"/>
    </row>
    <row r="1097" s="91" customFormat="true" ht="12.75" hidden="false" customHeight="false" outlineLevel="0" collapsed="false">
      <c r="A1097" s="90"/>
    </row>
    <row r="1098" s="91" customFormat="true" ht="12.75" hidden="false" customHeight="false" outlineLevel="0" collapsed="false">
      <c r="A1098" s="90"/>
    </row>
    <row r="1099" s="91" customFormat="true" ht="12.75" hidden="false" customHeight="false" outlineLevel="0" collapsed="false">
      <c r="A1099" s="90"/>
    </row>
    <row r="1100" s="91" customFormat="true" ht="12.75" hidden="false" customHeight="false" outlineLevel="0" collapsed="false">
      <c r="A1100" s="90"/>
    </row>
    <row r="1101" s="91" customFormat="true" ht="12.75" hidden="false" customHeight="false" outlineLevel="0" collapsed="false">
      <c r="A1101" s="90"/>
    </row>
    <row r="1102" s="91" customFormat="true" ht="12.75" hidden="false" customHeight="false" outlineLevel="0" collapsed="false">
      <c r="A1102" s="90"/>
    </row>
    <row r="1103" s="91" customFormat="true" ht="12.75" hidden="false" customHeight="false" outlineLevel="0" collapsed="false">
      <c r="A1103" s="90"/>
    </row>
    <row r="1104" s="91" customFormat="true" ht="12.75" hidden="false" customHeight="false" outlineLevel="0" collapsed="false">
      <c r="A1104" s="90"/>
    </row>
    <row r="1105" s="91" customFormat="true" ht="12.75" hidden="false" customHeight="false" outlineLevel="0" collapsed="false">
      <c r="A1105" s="90"/>
    </row>
    <row r="1106" s="91" customFormat="true" ht="12.75" hidden="false" customHeight="false" outlineLevel="0" collapsed="false">
      <c r="A1106" s="90"/>
    </row>
    <row r="1107" s="91" customFormat="true" ht="12.75" hidden="false" customHeight="false" outlineLevel="0" collapsed="false">
      <c r="A1107" s="90"/>
    </row>
    <row r="1108" s="91" customFormat="true" ht="12.75" hidden="false" customHeight="false" outlineLevel="0" collapsed="false">
      <c r="A1108" s="90"/>
    </row>
    <row r="1109" s="91" customFormat="true" ht="12.75" hidden="false" customHeight="false" outlineLevel="0" collapsed="false">
      <c r="A1109" s="90"/>
    </row>
    <row r="1110" s="91" customFormat="true" ht="12.75" hidden="false" customHeight="false" outlineLevel="0" collapsed="false">
      <c r="A1110" s="90"/>
    </row>
    <row r="1111" s="91" customFormat="true" ht="12.75" hidden="false" customHeight="false" outlineLevel="0" collapsed="false">
      <c r="A1111" s="90"/>
    </row>
    <row r="1112" s="91" customFormat="true" ht="12.75" hidden="false" customHeight="false" outlineLevel="0" collapsed="false">
      <c r="A1112" s="90"/>
    </row>
    <row r="1113" s="91" customFormat="true" ht="12.75" hidden="false" customHeight="false" outlineLevel="0" collapsed="false">
      <c r="A1113" s="90"/>
    </row>
    <row r="1114" s="91" customFormat="true" ht="12.75" hidden="false" customHeight="false" outlineLevel="0" collapsed="false">
      <c r="A1114" s="90"/>
    </row>
    <row r="1115" s="91" customFormat="true" ht="12.75" hidden="false" customHeight="false" outlineLevel="0" collapsed="false">
      <c r="A1115" s="90"/>
    </row>
    <row r="1116" s="91" customFormat="true" ht="12.75" hidden="false" customHeight="false" outlineLevel="0" collapsed="false">
      <c r="A1116" s="90"/>
    </row>
    <row r="1117" s="91" customFormat="true" ht="12.75" hidden="false" customHeight="false" outlineLevel="0" collapsed="false">
      <c r="A1117" s="90"/>
    </row>
    <row r="1118" s="91" customFormat="true" ht="12.75" hidden="false" customHeight="false" outlineLevel="0" collapsed="false">
      <c r="A1118" s="90"/>
    </row>
    <row r="1119" s="91" customFormat="true" ht="12.75" hidden="false" customHeight="false" outlineLevel="0" collapsed="false">
      <c r="A1119" s="90"/>
    </row>
    <row r="1120" s="91" customFormat="true" ht="12.75" hidden="false" customHeight="false" outlineLevel="0" collapsed="false">
      <c r="A1120" s="90"/>
    </row>
    <row r="1121" s="91" customFormat="true" ht="12.75" hidden="false" customHeight="false" outlineLevel="0" collapsed="false">
      <c r="A1121" s="90"/>
    </row>
    <row r="1122" s="91" customFormat="true" ht="12.75" hidden="false" customHeight="false" outlineLevel="0" collapsed="false">
      <c r="A1122" s="90"/>
    </row>
    <row r="1123" s="91" customFormat="true" ht="12.75" hidden="false" customHeight="false" outlineLevel="0" collapsed="false">
      <c r="A1123" s="90"/>
    </row>
    <row r="1124" s="91" customFormat="true" ht="12.75" hidden="false" customHeight="false" outlineLevel="0" collapsed="false">
      <c r="A1124" s="90"/>
    </row>
    <row r="1125" s="91" customFormat="true" ht="12.75" hidden="false" customHeight="false" outlineLevel="0" collapsed="false">
      <c r="A1125" s="90"/>
    </row>
    <row r="1126" s="91" customFormat="true" ht="12.75" hidden="false" customHeight="false" outlineLevel="0" collapsed="false">
      <c r="A1126" s="90"/>
    </row>
    <row r="1127" s="91" customFormat="true" ht="12.75" hidden="false" customHeight="false" outlineLevel="0" collapsed="false">
      <c r="A1127" s="90"/>
    </row>
    <row r="1128" s="91" customFormat="true" ht="12.75" hidden="false" customHeight="false" outlineLevel="0" collapsed="false">
      <c r="A1128" s="90"/>
    </row>
    <row r="1129" s="91" customFormat="true" ht="12.75" hidden="false" customHeight="false" outlineLevel="0" collapsed="false">
      <c r="A1129" s="90"/>
    </row>
    <row r="1130" s="91" customFormat="true" ht="12.75" hidden="false" customHeight="false" outlineLevel="0" collapsed="false">
      <c r="A1130" s="90"/>
    </row>
    <row r="1131" s="91" customFormat="true" ht="12.75" hidden="false" customHeight="false" outlineLevel="0" collapsed="false">
      <c r="A1131" s="90"/>
    </row>
    <row r="1132" s="91" customFormat="true" ht="12.75" hidden="false" customHeight="false" outlineLevel="0" collapsed="false">
      <c r="A1132" s="90"/>
    </row>
    <row r="1133" s="91" customFormat="true" ht="12.75" hidden="false" customHeight="false" outlineLevel="0" collapsed="false">
      <c r="A1133" s="90"/>
    </row>
    <row r="1134" s="91" customFormat="true" ht="12.75" hidden="false" customHeight="false" outlineLevel="0" collapsed="false">
      <c r="A1134" s="90"/>
    </row>
    <row r="1135" s="91" customFormat="true" ht="12.75" hidden="false" customHeight="false" outlineLevel="0" collapsed="false">
      <c r="A1135" s="90"/>
    </row>
    <row r="1136" s="91" customFormat="true" ht="12.75" hidden="false" customHeight="false" outlineLevel="0" collapsed="false">
      <c r="A1136" s="90"/>
    </row>
    <row r="1137" s="91" customFormat="true" ht="12.75" hidden="false" customHeight="false" outlineLevel="0" collapsed="false">
      <c r="A1137" s="90"/>
    </row>
    <row r="1138" s="91" customFormat="true" ht="12.75" hidden="false" customHeight="false" outlineLevel="0" collapsed="false">
      <c r="A1138" s="90"/>
    </row>
    <row r="1139" s="91" customFormat="true" ht="12.75" hidden="false" customHeight="false" outlineLevel="0" collapsed="false">
      <c r="A1139" s="90"/>
    </row>
    <row r="1140" s="91" customFormat="true" ht="12.75" hidden="false" customHeight="false" outlineLevel="0" collapsed="false">
      <c r="A1140" s="90"/>
    </row>
    <row r="1141" s="91" customFormat="true" ht="12.75" hidden="false" customHeight="false" outlineLevel="0" collapsed="false">
      <c r="A1141" s="90"/>
    </row>
    <row r="1142" s="91" customFormat="true" ht="12.75" hidden="false" customHeight="false" outlineLevel="0" collapsed="false">
      <c r="A1142" s="90"/>
    </row>
    <row r="1143" s="91" customFormat="true" ht="12.75" hidden="false" customHeight="false" outlineLevel="0" collapsed="false">
      <c r="A1143" s="90"/>
    </row>
    <row r="1144" s="91" customFormat="true" ht="12.75" hidden="false" customHeight="false" outlineLevel="0" collapsed="false">
      <c r="A1144" s="90"/>
    </row>
    <row r="1145" s="91" customFormat="true" ht="12.75" hidden="false" customHeight="false" outlineLevel="0" collapsed="false">
      <c r="A1145" s="90"/>
    </row>
    <row r="1146" s="91" customFormat="true" ht="12.75" hidden="false" customHeight="false" outlineLevel="0" collapsed="false">
      <c r="A1146" s="90"/>
    </row>
    <row r="1147" s="91" customFormat="true" ht="12.75" hidden="false" customHeight="false" outlineLevel="0" collapsed="false">
      <c r="A1147" s="90"/>
    </row>
    <row r="1148" s="91" customFormat="true" ht="12.75" hidden="false" customHeight="false" outlineLevel="0" collapsed="false">
      <c r="A1148" s="90"/>
    </row>
    <row r="1149" s="91" customFormat="true" ht="12.75" hidden="false" customHeight="false" outlineLevel="0" collapsed="false">
      <c r="A1149" s="90"/>
    </row>
    <row r="1150" s="91" customFormat="true" ht="12.75" hidden="false" customHeight="false" outlineLevel="0" collapsed="false">
      <c r="A1150" s="90"/>
    </row>
    <row r="1151" s="91" customFormat="true" ht="12.75" hidden="false" customHeight="false" outlineLevel="0" collapsed="false">
      <c r="A1151" s="90"/>
    </row>
    <row r="1152" s="91" customFormat="true" ht="12.75" hidden="false" customHeight="false" outlineLevel="0" collapsed="false">
      <c r="A1152" s="90"/>
    </row>
    <row r="1153" s="91" customFormat="true" ht="12.75" hidden="false" customHeight="false" outlineLevel="0" collapsed="false">
      <c r="A1153" s="90"/>
    </row>
    <row r="1154" s="91" customFormat="true" ht="12.75" hidden="false" customHeight="false" outlineLevel="0" collapsed="false">
      <c r="A1154" s="90"/>
    </row>
    <row r="1155" s="91" customFormat="true" ht="12.75" hidden="false" customHeight="false" outlineLevel="0" collapsed="false">
      <c r="A1155" s="90"/>
    </row>
    <row r="1156" s="91" customFormat="true" ht="12.75" hidden="false" customHeight="false" outlineLevel="0" collapsed="false">
      <c r="A1156" s="90"/>
    </row>
    <row r="1157" s="91" customFormat="true" ht="12.75" hidden="false" customHeight="false" outlineLevel="0" collapsed="false">
      <c r="A1157" s="90"/>
    </row>
    <row r="1158" s="91" customFormat="true" ht="12.75" hidden="false" customHeight="false" outlineLevel="0" collapsed="false">
      <c r="A1158" s="90"/>
    </row>
    <row r="1159" s="91" customFormat="true" ht="12.75" hidden="false" customHeight="false" outlineLevel="0" collapsed="false">
      <c r="A1159" s="90"/>
    </row>
    <row r="1160" s="91" customFormat="true" ht="12.75" hidden="false" customHeight="false" outlineLevel="0" collapsed="false">
      <c r="A1160" s="90"/>
    </row>
    <row r="1161" s="91" customFormat="true" ht="12.75" hidden="false" customHeight="false" outlineLevel="0" collapsed="false">
      <c r="A1161" s="90"/>
    </row>
    <row r="1162" s="91" customFormat="true" ht="12.75" hidden="false" customHeight="false" outlineLevel="0" collapsed="false">
      <c r="A1162" s="90"/>
    </row>
    <row r="1163" s="91" customFormat="true" ht="12.75" hidden="false" customHeight="false" outlineLevel="0" collapsed="false">
      <c r="A1163" s="90"/>
    </row>
    <row r="1164" s="91" customFormat="true" ht="12.75" hidden="false" customHeight="false" outlineLevel="0" collapsed="false">
      <c r="A1164" s="90"/>
    </row>
    <row r="1165" s="91" customFormat="true" ht="12.75" hidden="false" customHeight="false" outlineLevel="0" collapsed="false">
      <c r="A1165" s="90"/>
    </row>
    <row r="1166" s="91" customFormat="true" ht="12.75" hidden="false" customHeight="false" outlineLevel="0" collapsed="false">
      <c r="A1166" s="90"/>
    </row>
    <row r="1167" s="91" customFormat="true" ht="12.75" hidden="false" customHeight="false" outlineLevel="0" collapsed="false">
      <c r="A1167" s="90"/>
    </row>
    <row r="1168" s="91" customFormat="true" ht="12.75" hidden="false" customHeight="false" outlineLevel="0" collapsed="false">
      <c r="A1168" s="90"/>
    </row>
    <row r="1169" s="91" customFormat="true" ht="12.75" hidden="false" customHeight="false" outlineLevel="0" collapsed="false">
      <c r="A1169" s="90"/>
    </row>
    <row r="1170" s="91" customFormat="true" ht="12.75" hidden="false" customHeight="false" outlineLevel="0" collapsed="false">
      <c r="A1170" s="90"/>
    </row>
    <row r="1171" s="91" customFormat="true" ht="12.75" hidden="false" customHeight="false" outlineLevel="0" collapsed="false">
      <c r="A1171" s="90"/>
    </row>
    <row r="1172" s="91" customFormat="true" ht="12.75" hidden="false" customHeight="false" outlineLevel="0" collapsed="false">
      <c r="A1172" s="90"/>
    </row>
    <row r="1173" s="91" customFormat="true" ht="12.75" hidden="false" customHeight="false" outlineLevel="0" collapsed="false">
      <c r="A1173" s="90"/>
    </row>
    <row r="1174" s="91" customFormat="true" ht="12.75" hidden="false" customHeight="false" outlineLevel="0" collapsed="false">
      <c r="A1174" s="90"/>
    </row>
    <row r="1175" s="91" customFormat="true" ht="12.75" hidden="false" customHeight="false" outlineLevel="0" collapsed="false">
      <c r="A1175" s="90"/>
    </row>
    <row r="1176" s="91" customFormat="true" ht="12.75" hidden="false" customHeight="false" outlineLevel="0" collapsed="false">
      <c r="A1176" s="90"/>
    </row>
    <row r="1177" s="91" customFormat="true" ht="12.75" hidden="false" customHeight="false" outlineLevel="0" collapsed="false">
      <c r="A1177" s="90"/>
    </row>
    <row r="1178" s="91" customFormat="true" ht="12.75" hidden="false" customHeight="false" outlineLevel="0" collapsed="false">
      <c r="A1178" s="90"/>
    </row>
    <row r="1179" s="91" customFormat="true" ht="12.75" hidden="false" customHeight="false" outlineLevel="0" collapsed="false">
      <c r="A1179" s="90"/>
    </row>
    <row r="1180" s="91" customFormat="true" ht="12.75" hidden="false" customHeight="false" outlineLevel="0" collapsed="false">
      <c r="A1180" s="90"/>
    </row>
    <row r="1181" s="91" customFormat="true" ht="12.75" hidden="false" customHeight="false" outlineLevel="0" collapsed="false">
      <c r="A1181" s="90"/>
    </row>
    <row r="1182" s="91" customFormat="true" ht="12.75" hidden="false" customHeight="false" outlineLevel="0" collapsed="false">
      <c r="A1182" s="90"/>
    </row>
    <row r="1183" s="91" customFormat="true" ht="12.75" hidden="false" customHeight="false" outlineLevel="0" collapsed="false">
      <c r="A1183" s="90"/>
    </row>
    <row r="1184" s="91" customFormat="true" ht="12.75" hidden="false" customHeight="false" outlineLevel="0" collapsed="false">
      <c r="A1184" s="90"/>
    </row>
    <row r="1185" s="91" customFormat="true" ht="12.75" hidden="false" customHeight="false" outlineLevel="0" collapsed="false">
      <c r="A1185" s="90"/>
    </row>
    <row r="1186" s="91" customFormat="true" ht="12.75" hidden="false" customHeight="false" outlineLevel="0" collapsed="false">
      <c r="A1186" s="90"/>
    </row>
    <row r="1187" s="91" customFormat="true" ht="12.75" hidden="false" customHeight="false" outlineLevel="0" collapsed="false">
      <c r="A1187" s="90"/>
    </row>
    <row r="1188" s="91" customFormat="true" ht="12.75" hidden="false" customHeight="false" outlineLevel="0" collapsed="false">
      <c r="A1188" s="90"/>
    </row>
    <row r="1189" s="91" customFormat="true" ht="12.75" hidden="false" customHeight="false" outlineLevel="0" collapsed="false">
      <c r="A1189" s="90"/>
    </row>
    <row r="1190" s="91" customFormat="true" ht="12.75" hidden="false" customHeight="false" outlineLevel="0" collapsed="false">
      <c r="A1190" s="90"/>
    </row>
    <row r="1191" s="91" customFormat="true" ht="12.75" hidden="false" customHeight="false" outlineLevel="0" collapsed="false">
      <c r="A1191" s="90"/>
    </row>
    <row r="1192" s="91" customFormat="true" ht="12.75" hidden="false" customHeight="false" outlineLevel="0" collapsed="false">
      <c r="A1192" s="90"/>
    </row>
    <row r="1193" s="91" customFormat="true" ht="12.75" hidden="false" customHeight="false" outlineLevel="0" collapsed="false">
      <c r="A1193" s="90"/>
    </row>
    <row r="1194" s="91" customFormat="true" ht="12.75" hidden="false" customHeight="false" outlineLevel="0" collapsed="false">
      <c r="A1194" s="90"/>
    </row>
    <row r="1195" s="91" customFormat="true" ht="12.75" hidden="false" customHeight="false" outlineLevel="0" collapsed="false">
      <c r="A1195" s="90"/>
    </row>
    <row r="1196" s="91" customFormat="true" ht="12.75" hidden="false" customHeight="false" outlineLevel="0" collapsed="false">
      <c r="A1196" s="90"/>
    </row>
    <row r="1197" s="91" customFormat="true" ht="12.75" hidden="false" customHeight="false" outlineLevel="0" collapsed="false">
      <c r="A1197" s="90"/>
    </row>
    <row r="1198" s="91" customFormat="true" ht="12.75" hidden="false" customHeight="false" outlineLevel="0" collapsed="false">
      <c r="A1198" s="90"/>
    </row>
    <row r="1199" s="91" customFormat="true" ht="12.75" hidden="false" customHeight="false" outlineLevel="0" collapsed="false">
      <c r="A1199" s="90"/>
    </row>
    <row r="1200" s="91" customFormat="true" ht="12.75" hidden="false" customHeight="false" outlineLevel="0" collapsed="false">
      <c r="A1200" s="90"/>
    </row>
    <row r="1201" s="91" customFormat="true" ht="12.75" hidden="false" customHeight="false" outlineLevel="0" collapsed="false">
      <c r="A1201" s="90"/>
    </row>
    <row r="1202" s="91" customFormat="true" ht="12.75" hidden="false" customHeight="false" outlineLevel="0" collapsed="false">
      <c r="A1202" s="90"/>
    </row>
    <row r="1203" s="91" customFormat="true" ht="12.75" hidden="false" customHeight="false" outlineLevel="0" collapsed="false">
      <c r="A1203" s="90"/>
    </row>
    <row r="1204" s="91" customFormat="true" ht="12.75" hidden="false" customHeight="false" outlineLevel="0" collapsed="false">
      <c r="A1204" s="90"/>
    </row>
    <row r="1205" s="91" customFormat="true" ht="12.75" hidden="false" customHeight="false" outlineLevel="0" collapsed="false">
      <c r="A1205" s="90"/>
    </row>
    <row r="1206" s="91" customFormat="true" ht="12.75" hidden="false" customHeight="false" outlineLevel="0" collapsed="false">
      <c r="A1206" s="90"/>
    </row>
    <row r="1207" s="91" customFormat="true" ht="12.75" hidden="false" customHeight="false" outlineLevel="0" collapsed="false">
      <c r="A1207" s="90"/>
    </row>
    <row r="1208" s="91" customFormat="true" ht="12.75" hidden="false" customHeight="false" outlineLevel="0" collapsed="false">
      <c r="A1208" s="90"/>
    </row>
    <row r="1209" s="91" customFormat="true" ht="12.75" hidden="false" customHeight="false" outlineLevel="0" collapsed="false">
      <c r="A1209" s="90"/>
    </row>
    <row r="1210" s="91" customFormat="true" ht="12.75" hidden="false" customHeight="false" outlineLevel="0" collapsed="false">
      <c r="A1210" s="90"/>
    </row>
    <row r="1211" s="91" customFormat="true" ht="12.75" hidden="false" customHeight="false" outlineLevel="0" collapsed="false">
      <c r="A1211" s="90"/>
    </row>
    <row r="1212" s="91" customFormat="true" ht="12.75" hidden="false" customHeight="false" outlineLevel="0" collapsed="false">
      <c r="A1212" s="90"/>
    </row>
    <row r="1213" s="91" customFormat="true" ht="12.75" hidden="false" customHeight="false" outlineLevel="0" collapsed="false">
      <c r="A1213" s="90"/>
    </row>
    <row r="1214" s="91" customFormat="true" ht="12.75" hidden="false" customHeight="false" outlineLevel="0" collapsed="false">
      <c r="A1214" s="90"/>
    </row>
    <row r="1215" s="91" customFormat="true" ht="12.75" hidden="false" customHeight="false" outlineLevel="0" collapsed="false">
      <c r="A1215" s="90"/>
    </row>
    <row r="1216" s="91" customFormat="true" ht="12.75" hidden="false" customHeight="false" outlineLevel="0" collapsed="false">
      <c r="A1216" s="90"/>
    </row>
    <row r="1217" s="91" customFormat="true" ht="12.75" hidden="false" customHeight="false" outlineLevel="0" collapsed="false">
      <c r="A1217" s="90"/>
    </row>
    <row r="1218" s="91" customFormat="true" ht="12.75" hidden="false" customHeight="false" outlineLevel="0" collapsed="false">
      <c r="A1218" s="90"/>
    </row>
    <row r="1219" s="91" customFormat="true" ht="12.75" hidden="false" customHeight="false" outlineLevel="0" collapsed="false">
      <c r="A1219" s="90"/>
    </row>
    <row r="1220" s="91" customFormat="true" ht="12.75" hidden="false" customHeight="false" outlineLevel="0" collapsed="false">
      <c r="A1220" s="90"/>
    </row>
    <row r="1221" s="91" customFormat="true" ht="12.75" hidden="false" customHeight="false" outlineLevel="0" collapsed="false">
      <c r="A1221" s="90"/>
    </row>
    <row r="1222" s="91" customFormat="true" ht="12.75" hidden="false" customHeight="false" outlineLevel="0" collapsed="false">
      <c r="A1222" s="90"/>
    </row>
    <row r="1223" s="91" customFormat="true" ht="12.75" hidden="false" customHeight="false" outlineLevel="0" collapsed="false">
      <c r="A1223" s="90"/>
    </row>
    <row r="1224" s="91" customFormat="true" ht="12.75" hidden="false" customHeight="false" outlineLevel="0" collapsed="false">
      <c r="A1224" s="90"/>
    </row>
    <row r="1225" s="91" customFormat="true" ht="12.75" hidden="false" customHeight="false" outlineLevel="0" collapsed="false">
      <c r="A1225" s="90"/>
    </row>
    <row r="1226" s="91" customFormat="true" ht="12.75" hidden="false" customHeight="false" outlineLevel="0" collapsed="false">
      <c r="A1226" s="90"/>
    </row>
    <row r="1227" s="91" customFormat="true" ht="12.75" hidden="false" customHeight="false" outlineLevel="0" collapsed="false">
      <c r="A1227" s="90"/>
    </row>
    <row r="1228" s="91" customFormat="true" ht="12.75" hidden="false" customHeight="false" outlineLevel="0" collapsed="false">
      <c r="A1228" s="90"/>
    </row>
    <row r="1229" s="91" customFormat="true" ht="12.75" hidden="false" customHeight="false" outlineLevel="0" collapsed="false">
      <c r="A1229" s="90"/>
    </row>
    <row r="1230" s="91" customFormat="true" ht="12.75" hidden="false" customHeight="false" outlineLevel="0" collapsed="false">
      <c r="A1230" s="90"/>
    </row>
    <row r="1231" s="91" customFormat="true" ht="12.75" hidden="false" customHeight="false" outlineLevel="0" collapsed="false">
      <c r="A1231" s="90"/>
    </row>
    <row r="1232" s="91" customFormat="true" ht="12.75" hidden="false" customHeight="false" outlineLevel="0" collapsed="false">
      <c r="A1232" s="90"/>
    </row>
    <row r="1233" s="91" customFormat="true" ht="12.75" hidden="false" customHeight="false" outlineLevel="0" collapsed="false">
      <c r="A1233" s="90"/>
    </row>
    <row r="1234" s="91" customFormat="true" ht="12.75" hidden="false" customHeight="false" outlineLevel="0" collapsed="false">
      <c r="A1234" s="90"/>
    </row>
    <row r="1235" s="91" customFormat="true" ht="12.75" hidden="false" customHeight="false" outlineLevel="0" collapsed="false">
      <c r="A1235" s="90"/>
    </row>
    <row r="1236" s="91" customFormat="true" ht="12.75" hidden="false" customHeight="false" outlineLevel="0" collapsed="false">
      <c r="A1236" s="90"/>
    </row>
    <row r="1237" s="91" customFormat="true" ht="12.75" hidden="false" customHeight="false" outlineLevel="0" collapsed="false">
      <c r="A1237" s="90"/>
    </row>
    <row r="1238" s="91" customFormat="true" ht="12.75" hidden="false" customHeight="false" outlineLevel="0" collapsed="false">
      <c r="A1238" s="90"/>
    </row>
    <row r="1239" s="91" customFormat="true" ht="12.75" hidden="false" customHeight="false" outlineLevel="0" collapsed="false">
      <c r="A1239" s="90"/>
    </row>
    <row r="1240" s="91" customFormat="true" ht="12.75" hidden="false" customHeight="false" outlineLevel="0" collapsed="false">
      <c r="A1240" s="90"/>
    </row>
    <row r="1241" s="91" customFormat="true" ht="12.75" hidden="false" customHeight="false" outlineLevel="0" collapsed="false">
      <c r="A1241" s="90"/>
    </row>
    <row r="1242" s="91" customFormat="true" ht="12.75" hidden="false" customHeight="false" outlineLevel="0" collapsed="false">
      <c r="A1242" s="90"/>
    </row>
    <row r="1243" s="91" customFormat="true" ht="12.75" hidden="false" customHeight="false" outlineLevel="0" collapsed="false">
      <c r="A1243" s="90"/>
    </row>
    <row r="1244" s="91" customFormat="true" ht="12.75" hidden="false" customHeight="false" outlineLevel="0" collapsed="false">
      <c r="A1244" s="90"/>
    </row>
    <row r="1245" s="91" customFormat="true" ht="12.75" hidden="false" customHeight="false" outlineLevel="0" collapsed="false">
      <c r="A1245" s="90"/>
    </row>
    <row r="1246" s="91" customFormat="true" ht="12.75" hidden="false" customHeight="false" outlineLevel="0" collapsed="false">
      <c r="A1246" s="90"/>
    </row>
    <row r="1247" s="91" customFormat="true" ht="12.75" hidden="false" customHeight="false" outlineLevel="0" collapsed="false">
      <c r="A1247" s="90"/>
    </row>
    <row r="1248" s="91" customFormat="true" ht="12.75" hidden="false" customHeight="false" outlineLevel="0" collapsed="false">
      <c r="A1248" s="90"/>
    </row>
    <row r="1249" s="91" customFormat="true" ht="12.75" hidden="false" customHeight="false" outlineLevel="0" collapsed="false">
      <c r="A1249" s="90"/>
    </row>
    <row r="1250" s="91" customFormat="true" ht="12.75" hidden="false" customHeight="false" outlineLevel="0" collapsed="false">
      <c r="A1250" s="90"/>
    </row>
    <row r="1251" s="91" customFormat="true" ht="12.75" hidden="false" customHeight="false" outlineLevel="0" collapsed="false">
      <c r="A1251" s="90"/>
    </row>
    <row r="1252" s="91" customFormat="true" ht="12.75" hidden="false" customHeight="false" outlineLevel="0" collapsed="false">
      <c r="A1252" s="90"/>
    </row>
    <row r="1253" s="91" customFormat="true" ht="12.75" hidden="false" customHeight="false" outlineLevel="0" collapsed="false">
      <c r="A1253" s="90"/>
    </row>
    <row r="1254" s="91" customFormat="true" ht="12.75" hidden="false" customHeight="false" outlineLevel="0" collapsed="false">
      <c r="A1254" s="90"/>
    </row>
    <row r="1255" s="91" customFormat="true" ht="12.75" hidden="false" customHeight="false" outlineLevel="0" collapsed="false">
      <c r="A1255" s="90"/>
    </row>
    <row r="1256" s="91" customFormat="true" ht="12.75" hidden="false" customHeight="false" outlineLevel="0" collapsed="false">
      <c r="A1256" s="90"/>
    </row>
    <row r="1257" s="91" customFormat="true" ht="12.75" hidden="false" customHeight="false" outlineLevel="0" collapsed="false">
      <c r="A1257" s="90"/>
    </row>
    <row r="1258" s="91" customFormat="true" ht="12.75" hidden="false" customHeight="false" outlineLevel="0" collapsed="false">
      <c r="A1258" s="90"/>
    </row>
    <row r="1259" s="91" customFormat="true" ht="12.75" hidden="false" customHeight="false" outlineLevel="0" collapsed="false">
      <c r="A1259" s="90"/>
    </row>
    <row r="1260" s="91" customFormat="true" ht="12.75" hidden="false" customHeight="false" outlineLevel="0" collapsed="false">
      <c r="A1260" s="90"/>
    </row>
    <row r="1261" s="91" customFormat="true" ht="12.75" hidden="false" customHeight="false" outlineLevel="0" collapsed="false">
      <c r="A1261" s="90"/>
    </row>
    <row r="1262" s="91" customFormat="true" ht="12.75" hidden="false" customHeight="false" outlineLevel="0" collapsed="false">
      <c r="A1262" s="90"/>
    </row>
    <row r="1263" s="91" customFormat="true" ht="12.75" hidden="false" customHeight="false" outlineLevel="0" collapsed="false">
      <c r="A1263" s="90"/>
    </row>
    <row r="1264" s="91" customFormat="true" ht="12.75" hidden="false" customHeight="false" outlineLevel="0" collapsed="false">
      <c r="A1264" s="90"/>
    </row>
    <row r="1265" s="91" customFormat="true" ht="12.75" hidden="false" customHeight="false" outlineLevel="0" collapsed="false">
      <c r="A1265" s="90"/>
    </row>
    <row r="1266" s="91" customFormat="true" ht="12.75" hidden="false" customHeight="false" outlineLevel="0" collapsed="false">
      <c r="A1266" s="90"/>
    </row>
    <row r="1267" s="91" customFormat="true" ht="12.75" hidden="false" customHeight="false" outlineLevel="0" collapsed="false">
      <c r="A1267" s="90"/>
    </row>
    <row r="1268" s="91" customFormat="true" ht="12.75" hidden="false" customHeight="false" outlineLevel="0" collapsed="false">
      <c r="A1268" s="90"/>
    </row>
    <row r="1269" s="91" customFormat="true" ht="12.75" hidden="false" customHeight="false" outlineLevel="0" collapsed="false">
      <c r="A1269" s="90"/>
    </row>
    <row r="1270" s="91" customFormat="true" ht="12.75" hidden="false" customHeight="false" outlineLevel="0" collapsed="false">
      <c r="A1270" s="90"/>
    </row>
    <row r="1271" s="91" customFormat="true" ht="12.75" hidden="false" customHeight="false" outlineLevel="0" collapsed="false">
      <c r="A1271" s="90"/>
    </row>
    <row r="1272" s="91" customFormat="true" ht="12.75" hidden="false" customHeight="false" outlineLevel="0" collapsed="false">
      <c r="A1272" s="90"/>
    </row>
    <row r="1273" s="91" customFormat="true" ht="12.75" hidden="false" customHeight="false" outlineLevel="0" collapsed="false">
      <c r="A1273" s="90"/>
    </row>
    <row r="1274" s="91" customFormat="true" ht="12.75" hidden="false" customHeight="false" outlineLevel="0" collapsed="false">
      <c r="A1274" s="90"/>
    </row>
    <row r="1275" s="91" customFormat="true" ht="12.75" hidden="false" customHeight="false" outlineLevel="0" collapsed="false">
      <c r="A1275" s="90"/>
    </row>
    <row r="1276" s="91" customFormat="true" ht="12.75" hidden="false" customHeight="false" outlineLevel="0" collapsed="false">
      <c r="A1276" s="90"/>
    </row>
    <row r="1277" s="91" customFormat="true" ht="12.75" hidden="false" customHeight="false" outlineLevel="0" collapsed="false">
      <c r="A1277" s="90"/>
    </row>
    <row r="1278" s="91" customFormat="true" ht="12.75" hidden="false" customHeight="false" outlineLevel="0" collapsed="false">
      <c r="A1278" s="90"/>
    </row>
    <row r="1279" s="91" customFormat="true" ht="12.75" hidden="false" customHeight="false" outlineLevel="0" collapsed="false">
      <c r="A1279" s="90"/>
    </row>
    <row r="1280" s="91" customFormat="true" ht="12.75" hidden="false" customHeight="false" outlineLevel="0" collapsed="false">
      <c r="A1280" s="90"/>
    </row>
    <row r="1281" s="91" customFormat="true" ht="12.75" hidden="false" customHeight="false" outlineLevel="0" collapsed="false">
      <c r="A1281" s="90"/>
    </row>
    <row r="1282" s="91" customFormat="true" ht="12.75" hidden="false" customHeight="false" outlineLevel="0" collapsed="false">
      <c r="A1282" s="90"/>
    </row>
    <row r="1283" s="91" customFormat="true" ht="12.75" hidden="false" customHeight="false" outlineLevel="0" collapsed="false">
      <c r="A1283" s="90"/>
    </row>
    <row r="1284" s="91" customFormat="true" ht="12.75" hidden="false" customHeight="false" outlineLevel="0" collapsed="false">
      <c r="A1284" s="90"/>
    </row>
    <row r="1285" s="91" customFormat="true" ht="12.75" hidden="false" customHeight="false" outlineLevel="0" collapsed="false">
      <c r="A1285" s="90"/>
    </row>
    <row r="1286" s="91" customFormat="true" ht="12.75" hidden="false" customHeight="false" outlineLevel="0" collapsed="false">
      <c r="A1286" s="90"/>
    </row>
    <row r="1287" s="91" customFormat="true" ht="12.75" hidden="false" customHeight="false" outlineLevel="0" collapsed="false">
      <c r="A1287" s="90"/>
    </row>
    <row r="1288" s="91" customFormat="true" ht="12.75" hidden="false" customHeight="false" outlineLevel="0" collapsed="false">
      <c r="A1288" s="90"/>
    </row>
    <row r="1289" s="91" customFormat="true" ht="12.75" hidden="false" customHeight="false" outlineLevel="0" collapsed="false">
      <c r="A1289" s="90"/>
    </row>
    <row r="1290" s="91" customFormat="true" ht="12.75" hidden="false" customHeight="false" outlineLevel="0" collapsed="false">
      <c r="A1290" s="90"/>
    </row>
    <row r="1291" s="91" customFormat="true" ht="12.75" hidden="false" customHeight="false" outlineLevel="0" collapsed="false">
      <c r="A1291" s="90"/>
    </row>
    <row r="1292" s="91" customFormat="true" ht="12.75" hidden="false" customHeight="false" outlineLevel="0" collapsed="false">
      <c r="A1292" s="90"/>
    </row>
    <row r="1293" s="91" customFormat="true" ht="12.75" hidden="false" customHeight="false" outlineLevel="0" collapsed="false">
      <c r="A1293" s="90"/>
    </row>
    <row r="1294" s="91" customFormat="true" ht="12.75" hidden="false" customHeight="false" outlineLevel="0" collapsed="false">
      <c r="A1294" s="90"/>
    </row>
    <row r="1295" s="91" customFormat="true" ht="12.75" hidden="false" customHeight="false" outlineLevel="0" collapsed="false">
      <c r="A1295" s="90"/>
    </row>
    <row r="1296" s="91" customFormat="true" ht="12.75" hidden="false" customHeight="false" outlineLevel="0" collapsed="false">
      <c r="A1296" s="90"/>
    </row>
    <row r="1297" s="91" customFormat="true" ht="12.75" hidden="false" customHeight="false" outlineLevel="0" collapsed="false">
      <c r="A1297" s="90"/>
    </row>
    <row r="1298" s="91" customFormat="true" ht="12.75" hidden="false" customHeight="false" outlineLevel="0" collapsed="false">
      <c r="A1298" s="90"/>
    </row>
    <row r="1299" s="91" customFormat="true" ht="12.75" hidden="false" customHeight="false" outlineLevel="0" collapsed="false">
      <c r="A1299" s="90"/>
    </row>
    <row r="1300" s="91" customFormat="true" ht="12.75" hidden="false" customHeight="false" outlineLevel="0" collapsed="false">
      <c r="A1300" s="90"/>
    </row>
    <row r="1301" s="91" customFormat="true" ht="12.75" hidden="false" customHeight="false" outlineLevel="0" collapsed="false">
      <c r="A1301" s="90"/>
    </row>
    <row r="1302" s="91" customFormat="true" ht="12.75" hidden="false" customHeight="false" outlineLevel="0" collapsed="false">
      <c r="A1302" s="90"/>
    </row>
    <row r="1303" s="91" customFormat="true" ht="12.75" hidden="false" customHeight="false" outlineLevel="0" collapsed="false">
      <c r="A1303" s="90"/>
    </row>
    <row r="1304" s="91" customFormat="true" ht="12.75" hidden="false" customHeight="false" outlineLevel="0" collapsed="false">
      <c r="A1304" s="90"/>
    </row>
    <row r="1305" s="91" customFormat="true" ht="12.75" hidden="false" customHeight="false" outlineLevel="0" collapsed="false">
      <c r="A1305" s="90"/>
    </row>
    <row r="1306" s="91" customFormat="true" ht="12.75" hidden="false" customHeight="false" outlineLevel="0" collapsed="false">
      <c r="A1306" s="90"/>
    </row>
    <row r="1307" s="91" customFormat="true" ht="12.75" hidden="false" customHeight="false" outlineLevel="0" collapsed="false">
      <c r="A1307" s="90"/>
    </row>
    <row r="1308" s="91" customFormat="true" ht="12.75" hidden="false" customHeight="false" outlineLevel="0" collapsed="false">
      <c r="A1308" s="90"/>
    </row>
    <row r="1309" s="91" customFormat="true" ht="12.75" hidden="false" customHeight="false" outlineLevel="0" collapsed="false">
      <c r="A1309" s="90"/>
    </row>
    <row r="1310" s="91" customFormat="true" ht="12.75" hidden="false" customHeight="false" outlineLevel="0" collapsed="false">
      <c r="A1310" s="90"/>
    </row>
    <row r="1311" s="91" customFormat="true" ht="12.75" hidden="false" customHeight="false" outlineLevel="0" collapsed="false">
      <c r="A1311" s="90"/>
    </row>
    <row r="1312" s="91" customFormat="true" ht="12.75" hidden="false" customHeight="false" outlineLevel="0" collapsed="false">
      <c r="A1312" s="90"/>
    </row>
    <row r="1313" s="91" customFormat="true" ht="12.75" hidden="false" customHeight="false" outlineLevel="0" collapsed="false">
      <c r="A1313" s="90"/>
    </row>
    <row r="1314" s="91" customFormat="true" ht="12.75" hidden="false" customHeight="false" outlineLevel="0" collapsed="false">
      <c r="A1314" s="90"/>
    </row>
    <row r="1315" s="91" customFormat="true" ht="12.75" hidden="false" customHeight="false" outlineLevel="0" collapsed="false">
      <c r="A1315" s="90"/>
    </row>
    <row r="1316" s="91" customFormat="true" ht="12.75" hidden="false" customHeight="false" outlineLevel="0" collapsed="false">
      <c r="A1316" s="90"/>
    </row>
    <row r="1317" s="91" customFormat="true" ht="12.75" hidden="false" customHeight="false" outlineLevel="0" collapsed="false">
      <c r="A1317" s="90"/>
    </row>
    <row r="1318" s="91" customFormat="true" ht="12.75" hidden="false" customHeight="false" outlineLevel="0" collapsed="false">
      <c r="A1318" s="90"/>
    </row>
    <row r="1319" s="91" customFormat="true" ht="12.75" hidden="false" customHeight="false" outlineLevel="0" collapsed="false">
      <c r="A1319" s="90"/>
    </row>
    <row r="1320" s="91" customFormat="true" ht="12.75" hidden="false" customHeight="false" outlineLevel="0" collapsed="false">
      <c r="A1320" s="90"/>
    </row>
    <row r="1321" s="91" customFormat="true" ht="12.75" hidden="false" customHeight="false" outlineLevel="0" collapsed="false">
      <c r="A1321" s="90"/>
    </row>
    <row r="1322" s="91" customFormat="true" ht="12.75" hidden="false" customHeight="false" outlineLevel="0" collapsed="false">
      <c r="A1322" s="90"/>
    </row>
    <row r="1323" s="91" customFormat="true" ht="12.75" hidden="false" customHeight="false" outlineLevel="0" collapsed="false">
      <c r="A1323" s="90"/>
    </row>
    <row r="1324" s="91" customFormat="true" ht="12.75" hidden="false" customHeight="false" outlineLevel="0" collapsed="false">
      <c r="A1324" s="90"/>
    </row>
    <row r="1325" s="91" customFormat="true" ht="12.75" hidden="false" customHeight="false" outlineLevel="0" collapsed="false">
      <c r="A1325" s="90"/>
    </row>
    <row r="1326" s="91" customFormat="true" ht="12.75" hidden="false" customHeight="false" outlineLevel="0" collapsed="false">
      <c r="A1326" s="90"/>
    </row>
    <row r="1327" s="91" customFormat="true" ht="12.75" hidden="false" customHeight="false" outlineLevel="0" collapsed="false">
      <c r="A1327" s="90"/>
    </row>
    <row r="1328" s="91" customFormat="true" ht="12.75" hidden="false" customHeight="false" outlineLevel="0" collapsed="false">
      <c r="A1328" s="90"/>
    </row>
    <row r="1329" s="91" customFormat="true" ht="12.75" hidden="false" customHeight="false" outlineLevel="0" collapsed="false">
      <c r="A1329" s="90"/>
    </row>
    <row r="1330" s="91" customFormat="true" ht="12.75" hidden="false" customHeight="false" outlineLevel="0" collapsed="false">
      <c r="A1330" s="90"/>
    </row>
    <row r="1331" s="91" customFormat="true" ht="12.75" hidden="false" customHeight="false" outlineLevel="0" collapsed="false">
      <c r="A1331" s="90"/>
    </row>
    <row r="1332" s="91" customFormat="true" ht="12.75" hidden="false" customHeight="false" outlineLevel="0" collapsed="false">
      <c r="A1332" s="90"/>
    </row>
    <row r="1333" s="91" customFormat="true" ht="12.75" hidden="false" customHeight="false" outlineLevel="0" collapsed="false">
      <c r="A1333" s="90"/>
    </row>
    <row r="1334" s="91" customFormat="true" ht="12.75" hidden="false" customHeight="false" outlineLevel="0" collapsed="false">
      <c r="A1334" s="90"/>
    </row>
    <row r="1335" s="91" customFormat="true" ht="12.75" hidden="false" customHeight="false" outlineLevel="0" collapsed="false">
      <c r="A1335" s="90"/>
    </row>
    <row r="1336" s="91" customFormat="true" ht="12.75" hidden="false" customHeight="false" outlineLevel="0" collapsed="false">
      <c r="A1336" s="90"/>
    </row>
    <row r="1337" s="91" customFormat="true" ht="12.75" hidden="false" customHeight="false" outlineLevel="0" collapsed="false">
      <c r="A1337" s="90"/>
    </row>
    <row r="1338" s="91" customFormat="true" ht="12.75" hidden="false" customHeight="false" outlineLevel="0" collapsed="false">
      <c r="A1338" s="90"/>
    </row>
    <row r="1339" s="91" customFormat="true" ht="12.75" hidden="false" customHeight="false" outlineLevel="0" collapsed="false">
      <c r="A1339" s="90"/>
    </row>
    <row r="1340" s="91" customFormat="true" ht="12.75" hidden="false" customHeight="false" outlineLevel="0" collapsed="false">
      <c r="A1340" s="90"/>
    </row>
    <row r="1341" s="91" customFormat="true" ht="12.75" hidden="false" customHeight="false" outlineLevel="0" collapsed="false">
      <c r="A1341" s="90"/>
    </row>
    <row r="1342" s="91" customFormat="true" ht="12.75" hidden="false" customHeight="false" outlineLevel="0" collapsed="false">
      <c r="A1342" s="90"/>
    </row>
    <row r="1343" s="91" customFormat="true" ht="12.75" hidden="false" customHeight="false" outlineLevel="0" collapsed="false">
      <c r="A1343" s="90"/>
    </row>
    <row r="1344" s="91" customFormat="true" ht="12.75" hidden="false" customHeight="false" outlineLevel="0" collapsed="false">
      <c r="A1344" s="90"/>
    </row>
    <row r="1345" s="91" customFormat="true" ht="12.75" hidden="false" customHeight="false" outlineLevel="0" collapsed="false">
      <c r="A1345" s="90"/>
    </row>
    <row r="1346" s="91" customFormat="true" ht="12.75" hidden="false" customHeight="false" outlineLevel="0" collapsed="false">
      <c r="A1346" s="90"/>
    </row>
    <row r="1347" s="91" customFormat="true" ht="12.75" hidden="false" customHeight="false" outlineLevel="0" collapsed="false">
      <c r="A1347" s="90"/>
    </row>
    <row r="1348" s="91" customFormat="true" ht="12.75" hidden="false" customHeight="false" outlineLevel="0" collapsed="false">
      <c r="A1348" s="90"/>
    </row>
    <row r="1349" s="91" customFormat="true" ht="12.75" hidden="false" customHeight="false" outlineLevel="0" collapsed="false">
      <c r="A1349" s="90"/>
    </row>
    <row r="1350" s="91" customFormat="true" ht="12.75" hidden="false" customHeight="false" outlineLevel="0" collapsed="false">
      <c r="A1350" s="90"/>
    </row>
    <row r="1351" s="91" customFormat="true" ht="12.75" hidden="false" customHeight="false" outlineLevel="0" collapsed="false">
      <c r="A1351" s="90"/>
    </row>
    <row r="1352" s="91" customFormat="true" ht="12.75" hidden="false" customHeight="false" outlineLevel="0" collapsed="false">
      <c r="A1352" s="90"/>
    </row>
    <row r="1353" s="91" customFormat="true" ht="12.75" hidden="false" customHeight="false" outlineLevel="0" collapsed="false">
      <c r="A1353" s="90"/>
    </row>
    <row r="1354" s="91" customFormat="true" ht="12.75" hidden="false" customHeight="false" outlineLevel="0" collapsed="false">
      <c r="A1354" s="90"/>
    </row>
    <row r="1355" s="91" customFormat="true" ht="12.75" hidden="false" customHeight="false" outlineLevel="0" collapsed="false">
      <c r="A1355" s="90"/>
    </row>
    <row r="1356" s="91" customFormat="true" ht="12.75" hidden="false" customHeight="false" outlineLevel="0" collapsed="false">
      <c r="A1356" s="90"/>
    </row>
    <row r="1357" s="91" customFormat="true" ht="12.75" hidden="false" customHeight="false" outlineLevel="0" collapsed="false">
      <c r="A1357" s="90"/>
    </row>
    <row r="1358" s="91" customFormat="true" ht="12.75" hidden="false" customHeight="false" outlineLevel="0" collapsed="false">
      <c r="A1358" s="90"/>
    </row>
    <row r="1359" s="91" customFormat="true" ht="12.75" hidden="false" customHeight="false" outlineLevel="0" collapsed="false">
      <c r="A1359" s="90"/>
    </row>
    <row r="1360" s="91" customFormat="true" ht="12.75" hidden="false" customHeight="false" outlineLevel="0" collapsed="false">
      <c r="A1360" s="90"/>
    </row>
    <row r="1361" s="91" customFormat="true" ht="12.75" hidden="false" customHeight="false" outlineLevel="0" collapsed="false">
      <c r="A1361" s="90"/>
    </row>
    <row r="1362" s="91" customFormat="true" ht="12.75" hidden="false" customHeight="false" outlineLevel="0" collapsed="false">
      <c r="A1362" s="90"/>
    </row>
    <row r="1363" s="91" customFormat="true" ht="12.75" hidden="false" customHeight="false" outlineLevel="0" collapsed="false">
      <c r="A1363" s="90"/>
    </row>
    <row r="1364" s="91" customFormat="true" ht="12.75" hidden="false" customHeight="false" outlineLevel="0" collapsed="false">
      <c r="A1364" s="90"/>
    </row>
    <row r="1365" s="91" customFormat="true" ht="12.75" hidden="false" customHeight="false" outlineLevel="0" collapsed="false">
      <c r="A1365" s="90"/>
    </row>
    <row r="1366" s="91" customFormat="true" ht="12.75" hidden="false" customHeight="false" outlineLevel="0" collapsed="false">
      <c r="A1366" s="90"/>
    </row>
    <row r="1367" s="91" customFormat="true" ht="12.75" hidden="false" customHeight="false" outlineLevel="0" collapsed="false">
      <c r="A1367" s="90"/>
    </row>
    <row r="1368" s="91" customFormat="true" ht="12.75" hidden="false" customHeight="false" outlineLevel="0" collapsed="false">
      <c r="A1368" s="90"/>
    </row>
    <row r="1369" s="91" customFormat="true" ht="12.75" hidden="false" customHeight="false" outlineLevel="0" collapsed="false">
      <c r="A1369" s="90"/>
    </row>
    <row r="1370" s="91" customFormat="true" ht="12.75" hidden="false" customHeight="false" outlineLevel="0" collapsed="false">
      <c r="A1370" s="90"/>
    </row>
    <row r="1371" s="91" customFormat="true" ht="12.75" hidden="false" customHeight="false" outlineLevel="0" collapsed="false">
      <c r="A1371" s="90"/>
    </row>
    <row r="1372" s="91" customFormat="true" ht="12.75" hidden="false" customHeight="false" outlineLevel="0" collapsed="false">
      <c r="A1372" s="90"/>
    </row>
    <row r="1373" s="91" customFormat="true" ht="12.75" hidden="false" customHeight="false" outlineLevel="0" collapsed="false">
      <c r="A1373" s="90"/>
    </row>
    <row r="1374" s="91" customFormat="true" ht="12.75" hidden="false" customHeight="false" outlineLevel="0" collapsed="false">
      <c r="A1374" s="90"/>
    </row>
    <row r="1375" s="91" customFormat="true" ht="12.75" hidden="false" customHeight="false" outlineLevel="0" collapsed="false">
      <c r="A1375" s="90"/>
    </row>
    <row r="1376" s="91" customFormat="true" ht="12.75" hidden="false" customHeight="false" outlineLevel="0" collapsed="false">
      <c r="A1376" s="90"/>
    </row>
    <row r="1377" s="91" customFormat="true" ht="12.75" hidden="false" customHeight="false" outlineLevel="0" collapsed="false">
      <c r="A1377" s="90"/>
    </row>
    <row r="1378" s="91" customFormat="true" ht="12.75" hidden="false" customHeight="false" outlineLevel="0" collapsed="false">
      <c r="A1378" s="90"/>
    </row>
    <row r="1379" s="91" customFormat="true" ht="12.75" hidden="false" customHeight="false" outlineLevel="0" collapsed="false">
      <c r="A1379" s="90"/>
    </row>
    <row r="1380" s="91" customFormat="true" ht="12.75" hidden="false" customHeight="false" outlineLevel="0" collapsed="false">
      <c r="A1380" s="90"/>
    </row>
    <row r="1381" s="91" customFormat="true" ht="12.75" hidden="false" customHeight="false" outlineLevel="0" collapsed="false">
      <c r="A1381" s="90"/>
    </row>
    <row r="1382" s="91" customFormat="true" ht="12.75" hidden="false" customHeight="false" outlineLevel="0" collapsed="false">
      <c r="A1382" s="90"/>
    </row>
    <row r="1383" s="91" customFormat="true" ht="12.75" hidden="false" customHeight="false" outlineLevel="0" collapsed="false">
      <c r="A1383" s="90"/>
    </row>
    <row r="1384" s="91" customFormat="true" ht="12.75" hidden="false" customHeight="false" outlineLevel="0" collapsed="false">
      <c r="A1384" s="90"/>
    </row>
    <row r="1385" s="91" customFormat="true" ht="12.75" hidden="false" customHeight="false" outlineLevel="0" collapsed="false">
      <c r="A1385" s="90"/>
    </row>
    <row r="1386" s="91" customFormat="true" ht="12.75" hidden="false" customHeight="false" outlineLevel="0" collapsed="false">
      <c r="A1386" s="90"/>
    </row>
    <row r="1387" s="91" customFormat="true" ht="12.75" hidden="false" customHeight="false" outlineLevel="0" collapsed="false">
      <c r="A1387" s="90"/>
    </row>
    <row r="1388" s="91" customFormat="true" ht="12.75" hidden="false" customHeight="false" outlineLevel="0" collapsed="false">
      <c r="A1388" s="90"/>
    </row>
    <row r="1389" s="91" customFormat="true" ht="12.75" hidden="false" customHeight="false" outlineLevel="0" collapsed="false">
      <c r="A1389" s="90"/>
    </row>
    <row r="1390" s="91" customFormat="true" ht="12.75" hidden="false" customHeight="false" outlineLevel="0" collapsed="false">
      <c r="A1390" s="90"/>
    </row>
    <row r="1391" s="91" customFormat="true" ht="12.75" hidden="false" customHeight="false" outlineLevel="0" collapsed="false">
      <c r="A1391" s="90"/>
    </row>
    <row r="1392" s="91" customFormat="true" ht="12.75" hidden="false" customHeight="false" outlineLevel="0" collapsed="false">
      <c r="A1392" s="90"/>
    </row>
    <row r="1393" s="91" customFormat="true" ht="12.75" hidden="false" customHeight="false" outlineLevel="0" collapsed="false">
      <c r="A1393" s="90"/>
    </row>
    <row r="1394" s="91" customFormat="true" ht="12.75" hidden="false" customHeight="false" outlineLevel="0" collapsed="false">
      <c r="A1394" s="90"/>
    </row>
    <row r="1395" s="91" customFormat="true" ht="12.75" hidden="false" customHeight="false" outlineLevel="0" collapsed="false">
      <c r="A1395" s="90"/>
    </row>
    <row r="1396" s="91" customFormat="true" ht="12.75" hidden="false" customHeight="false" outlineLevel="0" collapsed="false">
      <c r="A1396" s="90"/>
    </row>
    <row r="1397" s="91" customFormat="true" ht="12.75" hidden="false" customHeight="false" outlineLevel="0" collapsed="false">
      <c r="A1397" s="90"/>
    </row>
    <row r="1398" s="91" customFormat="true" ht="12.75" hidden="false" customHeight="false" outlineLevel="0" collapsed="false">
      <c r="A1398" s="90"/>
    </row>
    <row r="1399" s="91" customFormat="true" ht="12.75" hidden="false" customHeight="false" outlineLevel="0" collapsed="false">
      <c r="A1399" s="90"/>
    </row>
    <row r="1400" s="91" customFormat="true" ht="12.75" hidden="false" customHeight="false" outlineLevel="0" collapsed="false">
      <c r="A1400" s="90"/>
    </row>
    <row r="1401" s="91" customFormat="true" ht="12.75" hidden="false" customHeight="false" outlineLevel="0" collapsed="false">
      <c r="A1401" s="90"/>
    </row>
    <row r="1402" s="91" customFormat="true" ht="12.75" hidden="false" customHeight="false" outlineLevel="0" collapsed="false">
      <c r="A1402" s="90"/>
    </row>
    <row r="1403" s="91" customFormat="true" ht="12.75" hidden="false" customHeight="false" outlineLevel="0" collapsed="false">
      <c r="A1403" s="90"/>
    </row>
    <row r="1404" s="91" customFormat="true" ht="12.75" hidden="false" customHeight="false" outlineLevel="0" collapsed="false">
      <c r="A1404" s="90"/>
    </row>
    <row r="1405" s="91" customFormat="true" ht="12.75" hidden="false" customHeight="false" outlineLevel="0" collapsed="false">
      <c r="A1405" s="90"/>
    </row>
    <row r="1406" s="91" customFormat="true" ht="12.75" hidden="false" customHeight="false" outlineLevel="0" collapsed="false">
      <c r="A1406" s="90"/>
    </row>
    <row r="1407" s="91" customFormat="true" ht="12.75" hidden="false" customHeight="false" outlineLevel="0" collapsed="false">
      <c r="A1407" s="90"/>
    </row>
    <row r="1408" s="91" customFormat="true" ht="12.75" hidden="false" customHeight="false" outlineLevel="0" collapsed="false">
      <c r="A1408" s="90"/>
    </row>
    <row r="1409" s="91" customFormat="true" ht="12.75" hidden="false" customHeight="false" outlineLevel="0" collapsed="false">
      <c r="A1409" s="90"/>
    </row>
    <row r="1410" s="91" customFormat="true" ht="12.75" hidden="false" customHeight="false" outlineLevel="0" collapsed="false">
      <c r="A1410" s="90"/>
    </row>
    <row r="1411" s="91" customFormat="true" ht="12.75" hidden="false" customHeight="false" outlineLevel="0" collapsed="false">
      <c r="A1411" s="90"/>
    </row>
    <row r="1412" s="91" customFormat="true" ht="12.75" hidden="false" customHeight="false" outlineLevel="0" collapsed="false">
      <c r="A1412" s="90"/>
    </row>
    <row r="1413" s="91" customFormat="true" ht="12.75" hidden="false" customHeight="false" outlineLevel="0" collapsed="false">
      <c r="A1413" s="90"/>
    </row>
    <row r="1414" s="91" customFormat="true" ht="12.75" hidden="false" customHeight="false" outlineLevel="0" collapsed="false">
      <c r="A1414" s="90"/>
    </row>
    <row r="1415" s="91" customFormat="true" ht="12.75" hidden="false" customHeight="false" outlineLevel="0" collapsed="false">
      <c r="A1415" s="90"/>
    </row>
    <row r="1416" s="91" customFormat="true" ht="12.75" hidden="false" customHeight="false" outlineLevel="0" collapsed="false">
      <c r="A1416" s="90"/>
    </row>
    <row r="1417" s="91" customFormat="true" ht="12.75" hidden="false" customHeight="false" outlineLevel="0" collapsed="false">
      <c r="A1417" s="90"/>
    </row>
    <row r="1418" s="91" customFormat="true" ht="12.75" hidden="false" customHeight="false" outlineLevel="0" collapsed="false">
      <c r="A1418" s="90"/>
    </row>
    <row r="1419" s="91" customFormat="true" ht="12.75" hidden="false" customHeight="false" outlineLevel="0" collapsed="false">
      <c r="A1419" s="90"/>
    </row>
    <row r="1420" s="91" customFormat="true" ht="12.75" hidden="false" customHeight="false" outlineLevel="0" collapsed="false">
      <c r="A1420" s="90"/>
    </row>
    <row r="1421" s="91" customFormat="true" ht="12.75" hidden="false" customHeight="false" outlineLevel="0" collapsed="false">
      <c r="A1421" s="90"/>
    </row>
    <row r="1422" s="91" customFormat="true" ht="12.75" hidden="false" customHeight="false" outlineLevel="0" collapsed="false">
      <c r="A1422" s="90"/>
    </row>
    <row r="1423" s="91" customFormat="true" ht="12.75" hidden="false" customHeight="false" outlineLevel="0" collapsed="false">
      <c r="A1423" s="90"/>
    </row>
    <row r="1424" s="91" customFormat="true" ht="12.75" hidden="false" customHeight="false" outlineLevel="0" collapsed="false">
      <c r="A1424" s="90"/>
    </row>
    <row r="1425" s="91" customFormat="true" ht="12.75" hidden="false" customHeight="false" outlineLevel="0" collapsed="false">
      <c r="A1425" s="90"/>
    </row>
    <row r="1426" s="91" customFormat="true" ht="12.75" hidden="false" customHeight="false" outlineLevel="0" collapsed="false">
      <c r="A1426" s="90"/>
    </row>
    <row r="1427" s="91" customFormat="true" ht="12.75" hidden="false" customHeight="false" outlineLevel="0" collapsed="false">
      <c r="A1427" s="90"/>
    </row>
    <row r="1428" s="91" customFormat="true" ht="12.75" hidden="false" customHeight="false" outlineLevel="0" collapsed="false">
      <c r="A1428" s="90"/>
    </row>
    <row r="1429" s="91" customFormat="true" ht="12.75" hidden="false" customHeight="false" outlineLevel="0" collapsed="false">
      <c r="A1429" s="90"/>
    </row>
    <row r="1430" s="91" customFormat="true" ht="12.75" hidden="false" customHeight="false" outlineLevel="0" collapsed="false">
      <c r="A1430" s="90"/>
    </row>
    <row r="1431" s="91" customFormat="true" ht="12.75" hidden="false" customHeight="false" outlineLevel="0" collapsed="false">
      <c r="A1431" s="90"/>
    </row>
    <row r="1432" s="91" customFormat="true" ht="12.75" hidden="false" customHeight="false" outlineLevel="0" collapsed="false">
      <c r="A1432" s="90"/>
    </row>
    <row r="1433" s="91" customFormat="true" ht="12.75" hidden="false" customHeight="false" outlineLevel="0" collapsed="false">
      <c r="A1433" s="90"/>
    </row>
    <row r="1434" s="91" customFormat="true" ht="12.75" hidden="false" customHeight="false" outlineLevel="0" collapsed="false">
      <c r="A1434" s="90"/>
    </row>
    <row r="1435" s="91" customFormat="true" ht="12.75" hidden="false" customHeight="false" outlineLevel="0" collapsed="false">
      <c r="A1435" s="90"/>
    </row>
    <row r="1436" s="91" customFormat="true" ht="12.75" hidden="false" customHeight="false" outlineLevel="0" collapsed="false">
      <c r="A1436" s="90"/>
    </row>
    <row r="1437" s="91" customFormat="true" ht="12.75" hidden="false" customHeight="false" outlineLevel="0" collapsed="false">
      <c r="A1437" s="90"/>
    </row>
    <row r="1438" s="91" customFormat="true" ht="12.75" hidden="false" customHeight="false" outlineLevel="0" collapsed="false">
      <c r="A1438" s="90"/>
    </row>
    <row r="1439" s="91" customFormat="true" ht="12.75" hidden="false" customHeight="false" outlineLevel="0" collapsed="false">
      <c r="A1439" s="90"/>
    </row>
    <row r="1440" s="91" customFormat="true" ht="12.75" hidden="false" customHeight="false" outlineLevel="0" collapsed="false">
      <c r="A1440" s="90"/>
    </row>
    <row r="1441" s="91" customFormat="true" ht="12.75" hidden="false" customHeight="false" outlineLevel="0" collapsed="false">
      <c r="A1441" s="90"/>
    </row>
    <row r="1442" s="91" customFormat="true" ht="12.75" hidden="false" customHeight="false" outlineLevel="0" collapsed="false">
      <c r="A1442" s="90"/>
    </row>
    <row r="1443" s="91" customFormat="true" ht="12.75" hidden="false" customHeight="false" outlineLevel="0" collapsed="false">
      <c r="A1443" s="90"/>
    </row>
    <row r="1444" s="91" customFormat="true" ht="12.75" hidden="false" customHeight="false" outlineLevel="0" collapsed="false">
      <c r="A1444" s="90"/>
    </row>
    <row r="1445" s="91" customFormat="true" ht="12.75" hidden="false" customHeight="false" outlineLevel="0" collapsed="false">
      <c r="A1445" s="90"/>
    </row>
    <row r="1446" s="91" customFormat="true" ht="12.75" hidden="false" customHeight="false" outlineLevel="0" collapsed="false">
      <c r="A1446" s="90"/>
    </row>
    <row r="1447" s="91" customFormat="true" ht="12.75" hidden="false" customHeight="false" outlineLevel="0" collapsed="false">
      <c r="A1447" s="90"/>
    </row>
    <row r="1448" s="91" customFormat="true" ht="12.75" hidden="false" customHeight="false" outlineLevel="0" collapsed="false">
      <c r="A1448" s="90"/>
    </row>
  </sheetData>
  <autoFilter ref="A3:Q447">
    <sortState ref="A4:Q447">
      <sortCondition ref="A4:A447" customList=""/>
    </sortState>
  </autoFilter>
  <hyperlinks>
    <hyperlink ref="P81" r:id="rId1" display="tel:29121830"/>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worksheet>
</file>

<file path=docProps/app.xml><?xml version="1.0" encoding="utf-8"?>
<Properties xmlns="http://schemas.openxmlformats.org/officeDocument/2006/extended-properties" xmlns:vt="http://schemas.openxmlformats.org/officeDocument/2006/docPropsVTypes">
  <Template/>
  <TotalTime>6243</TotalTime>
  <Application>LibreOffice/7.3.4.2$Linux_X86_64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2022-01-07T14:19:38Z</dcterms:created>
  <dc:creator>LiS 01</dc:creator>
  <dc:description/>
  <dc:language>en-US</dc:language>
  <cp:lastModifiedBy/>
  <dcterms:modified xsi:type="dcterms:W3CDTF">2023-02-05T12:28:40Z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file>